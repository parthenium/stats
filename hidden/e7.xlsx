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5ECBB867-2FAB-46E7-B3B6-7F2B6E0E26F5}" xr6:coauthVersionLast="47" xr6:coauthVersionMax="47" xr10:uidLastSave="{00000000-0000-0000-0000-000000000000}"/>
  <bookViews>
    <workbookView xWindow="-108" yWindow="-108" windowWidth="23256" windowHeight="12456" xr2:uid="{54932EAE-4827-426B-9213-BBCC3917F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2" i="1"/>
  <c r="B13" i="1"/>
  <c r="A13" i="1"/>
  <c r="F12" i="1"/>
  <c r="C12" i="1"/>
  <c r="E12" i="1" s="1"/>
  <c r="F11" i="1"/>
  <c r="C11" i="1"/>
  <c r="E11" i="1" s="1"/>
  <c r="F10" i="1"/>
  <c r="C10" i="1"/>
  <c r="E10" i="1" s="1"/>
  <c r="E13" i="1" s="1"/>
  <c r="C16" i="1" s="1"/>
  <c r="B7" i="1"/>
  <c r="D10" i="1" s="1"/>
  <c r="I10" i="1" s="1"/>
  <c r="D11" i="1" l="1"/>
  <c r="D12" i="1"/>
  <c r="H10" i="1"/>
  <c r="A19" i="1" s="1"/>
  <c r="B20" i="1"/>
  <c r="B19" i="1"/>
  <c r="D19" i="1" s="1"/>
  <c r="B21" i="1"/>
  <c r="D21" i="1" s="1"/>
  <c r="D20" i="1"/>
  <c r="G11" i="1"/>
  <c r="G10" i="1"/>
  <c r="G12" i="1"/>
  <c r="H12" i="1" l="1"/>
  <c r="A21" i="1" s="1"/>
  <c r="I12" i="1"/>
  <c r="H11" i="1"/>
  <c r="A20" i="1" s="1"/>
  <c r="A22" i="1" s="1"/>
  <c r="I11" i="1"/>
  <c r="I13" i="1" s="1"/>
  <c r="B30" i="1" s="1"/>
  <c r="D22" i="1"/>
  <c r="D37" i="1" s="1"/>
  <c r="G13" i="1"/>
  <c r="B24" i="1" l="1"/>
  <c r="B26" i="1" s="1"/>
  <c r="B34" i="1"/>
  <c r="B28" i="1"/>
</calcChain>
</file>

<file path=xl/sharedStrings.xml><?xml version="1.0" encoding="utf-8"?>
<sst xmlns="http://schemas.openxmlformats.org/spreadsheetml/2006/main" count="31" uniqueCount="29">
  <si>
    <t>Practical 7</t>
  </si>
  <si>
    <t>Stratum Type</t>
  </si>
  <si>
    <t>Total Milk Yield per selected cowsheds</t>
  </si>
  <si>
    <t>2-6 Milk animals</t>
  </si>
  <si>
    <t>&gt;6 Milk animal</t>
  </si>
  <si>
    <t>1 Milk animal</t>
  </si>
  <si>
    <t>ybarni</t>
  </si>
  <si>
    <t>Pi</t>
  </si>
  <si>
    <t xml:space="preserve">N = </t>
  </si>
  <si>
    <t>Niybarni</t>
  </si>
  <si>
    <t>Si2</t>
  </si>
  <si>
    <t>PiSi2</t>
  </si>
  <si>
    <t>Pi(1-Pi)</t>
  </si>
  <si>
    <t xml:space="preserve">ybar st = </t>
  </si>
  <si>
    <t>Pi(1-Pi)Si2/ni</t>
  </si>
  <si>
    <t>(ybarni - ybarst)2</t>
  </si>
  <si>
    <t>Pi(ybarni - ybarst)2</t>
  </si>
  <si>
    <t>S2(cap) =</t>
  </si>
  <si>
    <r>
      <t>N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</si>
  <si>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i</t>
    </r>
  </si>
  <si>
    <t>(1/ni - 1/Ni)PiSi2</t>
  </si>
  <si>
    <t>Gain in precision due to stratified random sampling</t>
  </si>
  <si>
    <t>Est[V(ybarn)R] =</t>
  </si>
  <si>
    <t>Est[SE(ybarn)R ] =</t>
  </si>
  <si>
    <t>Est[V(ybarst)] =</t>
  </si>
  <si>
    <t>Est[V(ybarst)prop] =</t>
  </si>
  <si>
    <t>Est[SE(ybarst)] =</t>
  </si>
  <si>
    <t xml:space="preserve">Est[V(ybarn)R] - Est[V(ybarst)prop] = </t>
  </si>
  <si>
    <t xml:space="preserve">Percentage gain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</si>
</sst>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01A3-D5D7-444B-B70F-61DE2642B6BD}">
  <dimension ref="A1:AD39"/>
  <sheetViews>
    <sheetView tabSelected="1" workbookViewId="0">
      <selection activeCell="C16" sqref="C16"/>
    </sheetView>
  </sheetViews>
  <sheetFormatPr defaultRowHeight="14.4" x14ac:dyDescent="0.3"/>
  <cols>
    <col min="1" max="1" width="19.33203125" customWidth="1"/>
    <col min="9" max="9" width="15.109375" bestFit="1" customWidth="1"/>
  </cols>
  <sheetData>
    <row r="1" spans="1:30" ht="18" x14ac:dyDescent="0.35">
      <c r="A1" s="2" t="s">
        <v>0</v>
      </c>
    </row>
    <row r="3" spans="1:30" ht="15.6" x14ac:dyDescent="0.35">
      <c r="A3" s="1" t="s">
        <v>1</v>
      </c>
      <c r="B3" s="1" t="s">
        <v>18</v>
      </c>
      <c r="C3" s="1" t="s">
        <v>19</v>
      </c>
      <c r="D3" s="1" t="s">
        <v>2</v>
      </c>
    </row>
    <row r="4" spans="1:30" x14ac:dyDescent="0.3">
      <c r="A4" s="1" t="s">
        <v>5</v>
      </c>
      <c r="B4">
        <v>2461</v>
      </c>
      <c r="C4">
        <v>19</v>
      </c>
      <c r="D4">
        <v>0</v>
      </c>
      <c r="E4">
        <v>27</v>
      </c>
      <c r="F4">
        <v>1068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81</v>
      </c>
      <c r="N4">
        <v>418</v>
      </c>
      <c r="O4">
        <v>0</v>
      </c>
      <c r="P4">
        <v>162</v>
      </c>
      <c r="Q4">
        <v>397</v>
      </c>
      <c r="R4">
        <v>0</v>
      </c>
      <c r="S4">
        <v>0</v>
      </c>
      <c r="T4">
        <v>0</v>
      </c>
      <c r="U4">
        <v>0</v>
      </c>
      <c r="V4">
        <v>0</v>
      </c>
    </row>
    <row r="5" spans="1:30" x14ac:dyDescent="0.3">
      <c r="A5" s="1" t="s">
        <v>3</v>
      </c>
      <c r="B5">
        <v>2385</v>
      </c>
      <c r="C5">
        <v>27</v>
      </c>
      <c r="D5">
        <v>960</v>
      </c>
      <c r="E5">
        <v>56</v>
      </c>
      <c r="F5">
        <v>0</v>
      </c>
      <c r="G5">
        <v>0</v>
      </c>
      <c r="H5">
        <v>0</v>
      </c>
      <c r="I5">
        <v>0</v>
      </c>
      <c r="J5">
        <v>513</v>
      </c>
      <c r="K5">
        <v>170</v>
      </c>
      <c r="L5">
        <v>843</v>
      </c>
      <c r="M5">
        <v>1627</v>
      </c>
      <c r="N5">
        <v>661</v>
      </c>
      <c r="O5">
        <v>0</v>
      </c>
      <c r="P5">
        <v>511</v>
      </c>
      <c r="Q5">
        <v>0</v>
      </c>
      <c r="R5">
        <v>1361</v>
      </c>
      <c r="S5">
        <v>232</v>
      </c>
      <c r="T5">
        <v>0</v>
      </c>
      <c r="U5">
        <v>981</v>
      </c>
      <c r="V5">
        <v>477</v>
      </c>
      <c r="W5">
        <v>906</v>
      </c>
      <c r="X5">
        <v>864</v>
      </c>
      <c r="Y5">
        <v>2422</v>
      </c>
      <c r="Z5">
        <v>2055</v>
      </c>
      <c r="AA5">
        <v>803</v>
      </c>
      <c r="AB5">
        <v>0</v>
      </c>
      <c r="AC5">
        <v>0</v>
      </c>
      <c r="AD5">
        <v>655</v>
      </c>
    </row>
    <row r="6" spans="1:30" x14ac:dyDescent="0.3">
      <c r="A6" s="1" t="s">
        <v>4</v>
      </c>
      <c r="B6">
        <v>543</v>
      </c>
      <c r="C6">
        <v>6</v>
      </c>
      <c r="D6">
        <v>1835</v>
      </c>
      <c r="E6">
        <v>1744</v>
      </c>
      <c r="F6">
        <v>1821</v>
      </c>
      <c r="G6">
        <v>2496</v>
      </c>
      <c r="H6">
        <v>7974</v>
      </c>
      <c r="I6">
        <v>10238</v>
      </c>
    </row>
    <row r="7" spans="1:30" x14ac:dyDescent="0.3">
      <c r="A7" s="1" t="s">
        <v>8</v>
      </c>
      <c r="B7">
        <f>SUM(B4:B6)</f>
        <v>5389</v>
      </c>
    </row>
    <row r="9" spans="1:30" ht="15.6" x14ac:dyDescent="0.35">
      <c r="A9" s="3" t="s">
        <v>18</v>
      </c>
      <c r="B9" s="3" t="s">
        <v>19</v>
      </c>
      <c r="C9" s="3" t="s">
        <v>6</v>
      </c>
      <c r="D9" s="3" t="s">
        <v>7</v>
      </c>
      <c r="E9" s="3" t="s">
        <v>9</v>
      </c>
      <c r="F9" s="3" t="s">
        <v>10</v>
      </c>
      <c r="G9" s="3" t="s">
        <v>11</v>
      </c>
      <c r="H9" s="3" t="s">
        <v>12</v>
      </c>
      <c r="I9" s="7" t="s">
        <v>20</v>
      </c>
    </row>
    <row r="10" spans="1:30" x14ac:dyDescent="0.3">
      <c r="A10" s="4">
        <v>2461</v>
      </c>
      <c r="B10" s="4">
        <v>19</v>
      </c>
      <c r="C10" s="4">
        <f>SUM(D4:V4)/C4</f>
        <v>113.31578947368421</v>
      </c>
      <c r="D10" s="4">
        <f>B4/$B$7</f>
        <v>0.45667099647429948</v>
      </c>
      <c r="E10" s="4">
        <f>B4*C10</f>
        <v>278870.15789473685</v>
      </c>
      <c r="F10" s="4">
        <f>_xlfn.VAR.S(D4:V4)</f>
        <v>70140.116959064326</v>
      </c>
      <c r="G10" s="4">
        <f>D10*F10</f>
        <v>32030.957104519817</v>
      </c>
      <c r="H10" s="4">
        <f>D10*(1-D10)</f>
        <v>0.24812259745346985</v>
      </c>
      <c r="I10" s="4">
        <f>(1/B10-1/A10)*(D10^2)*F10</f>
        <v>763.93039670710687</v>
      </c>
    </row>
    <row r="11" spans="1:30" x14ac:dyDescent="0.3">
      <c r="A11" s="4">
        <v>2385</v>
      </c>
      <c r="B11" s="4">
        <v>27</v>
      </c>
      <c r="C11" s="4">
        <f>SUM(D5:AD5)/C5</f>
        <v>596.18518518518522</v>
      </c>
      <c r="D11" s="4">
        <f t="shared" ref="D11:D12" si="0">B5/$B$7</f>
        <v>0.44256819447021711</v>
      </c>
      <c r="E11" s="4">
        <f t="shared" ref="E11:E12" si="1">B5*C11</f>
        <v>1421901.6666666667</v>
      </c>
      <c r="F11" s="4">
        <f>_xlfn.VAR.S(D5:AD5)</f>
        <v>442390.07977207977</v>
      </c>
      <c r="G11" s="4">
        <f t="shared" ref="G11:G12" si="2">D11*F11</f>
        <v>195787.77885626466</v>
      </c>
      <c r="H11" s="4">
        <f t="shared" ref="H11:H12" si="3">D11*(1-D11)</f>
        <v>0.24670158771358919</v>
      </c>
      <c r="I11" s="4">
        <f t="shared" ref="I11:I12" si="4">(1/B11-1/A11)*(D11^2)*F11</f>
        <v>3172.9076551210082</v>
      </c>
    </row>
    <row r="12" spans="1:30" x14ac:dyDescent="0.3">
      <c r="A12" s="4">
        <v>543</v>
      </c>
      <c r="B12" s="4">
        <v>6</v>
      </c>
      <c r="C12" s="4">
        <f>SUM(D6:I6)/C6</f>
        <v>4351.333333333333</v>
      </c>
      <c r="D12" s="4">
        <f t="shared" si="0"/>
        <v>0.10076080905548339</v>
      </c>
      <c r="E12" s="4">
        <f t="shared" si="1"/>
        <v>2362774</v>
      </c>
      <c r="F12" s="4">
        <f>_xlfn.VAR.S(D6:I6)</f>
        <v>14150305.466666665</v>
      </c>
      <c r="G12" s="4">
        <f t="shared" si="2"/>
        <v>1425796.2272035626</v>
      </c>
      <c r="H12" s="4">
        <f t="shared" si="3"/>
        <v>9.0608068413967804E-2</v>
      </c>
      <c r="I12" s="4">
        <f t="shared" si="4"/>
        <v>23679.488278849294</v>
      </c>
    </row>
    <row r="13" spans="1:30" x14ac:dyDescent="0.3">
      <c r="A13" s="3">
        <f>SUM(A10:A12)</f>
        <v>5389</v>
      </c>
      <c r="B13" s="3">
        <f>SUM(B10:B12)</f>
        <v>52</v>
      </c>
      <c r="C13" s="3"/>
      <c r="D13" s="3"/>
      <c r="E13" s="3">
        <f>SUM(E10:E12)</f>
        <v>4063545.8245614036</v>
      </c>
      <c r="F13" s="3"/>
      <c r="G13" s="3">
        <f>SUM(G10:G12)</f>
        <v>1653614.9631643472</v>
      </c>
      <c r="H13" s="3"/>
      <c r="I13" s="3">
        <f>SUM(I10:I12)</f>
        <v>27616.32633067741</v>
      </c>
    </row>
    <row r="16" spans="1:30" x14ac:dyDescent="0.3">
      <c r="B16" s="1" t="s">
        <v>13</v>
      </c>
      <c r="C16">
        <f>E13/A13</f>
        <v>754.04450260927888</v>
      </c>
    </row>
    <row r="18" spans="1:9" x14ac:dyDescent="0.3">
      <c r="A18" s="3" t="s">
        <v>14</v>
      </c>
      <c r="B18" s="5" t="s">
        <v>15</v>
      </c>
      <c r="C18" s="5"/>
      <c r="D18" s="5" t="s">
        <v>16</v>
      </c>
      <c r="E18" s="5"/>
      <c r="F18" s="9"/>
      <c r="G18" s="9"/>
      <c r="H18" s="9"/>
      <c r="I18" s="9"/>
    </row>
    <row r="19" spans="1:9" x14ac:dyDescent="0.3">
      <c r="A19" s="4">
        <f>H10*F10/B10</f>
        <v>915.96568450385314</v>
      </c>
      <c r="B19" s="6">
        <f>(C10-$C$16)^2</f>
        <v>410533.28383639525</v>
      </c>
      <c r="C19" s="6"/>
      <c r="D19" s="6">
        <f>D10*B19</f>
        <v>187478.64381543305</v>
      </c>
      <c r="E19" s="6"/>
      <c r="F19" s="10"/>
      <c r="G19" s="10"/>
      <c r="H19" s="10"/>
      <c r="I19" s="10"/>
    </row>
    <row r="20" spans="1:9" x14ac:dyDescent="0.3">
      <c r="A20" s="4">
        <f t="shared" ref="A20:A21" si="5">H11*F11/B11</f>
        <v>4042.1605580930909</v>
      </c>
      <c r="B20" s="6">
        <f t="shared" ref="B20:B21" si="6">(C11-$C$16)^2</f>
        <v>24919.56409760076</v>
      </c>
      <c r="C20" s="6"/>
      <c r="D20" s="6">
        <f t="shared" ref="D20:D21" si="7">D11*B20</f>
        <v>11028.606489660013</v>
      </c>
      <c r="E20" s="6"/>
      <c r="F20" s="10"/>
      <c r="G20" s="10"/>
      <c r="H20" s="10"/>
      <c r="I20" s="10"/>
    </row>
    <row r="21" spans="1:9" x14ac:dyDescent="0.3">
      <c r="A21" s="4">
        <f t="shared" si="5"/>
        <v>213688.64096704594</v>
      </c>
      <c r="B21" s="6">
        <f t="shared" si="6"/>
        <v>12940486.931652032</v>
      </c>
      <c r="C21" s="6"/>
      <c r="D21" s="6">
        <f t="shared" si="7"/>
        <v>1303893.9328051684</v>
      </c>
      <c r="E21" s="6"/>
      <c r="F21" s="10"/>
      <c r="G21" s="10"/>
      <c r="H21" s="10"/>
      <c r="I21" s="10"/>
    </row>
    <row r="22" spans="1:9" x14ac:dyDescent="0.3">
      <c r="A22" s="3">
        <f>SUM(A19:A21)</f>
        <v>218646.76720964289</v>
      </c>
      <c r="B22" s="6"/>
      <c r="C22" s="6"/>
      <c r="D22" s="5">
        <f>SUM(D19:E21)</f>
        <v>1502401.1831102616</v>
      </c>
      <c r="E22" s="5"/>
      <c r="F22" s="10"/>
      <c r="G22" s="10"/>
      <c r="H22" s="9"/>
      <c r="I22" s="9"/>
    </row>
    <row r="24" spans="1:9" x14ac:dyDescent="0.3">
      <c r="A24" s="1" t="s">
        <v>17</v>
      </c>
      <c r="B24">
        <f>G13 - ((B7/(B7-1))*A22) + ((B7/(B7-1))*D22)</f>
        <v>2937607.6408348065</v>
      </c>
    </row>
    <row r="26" spans="1:9" x14ac:dyDescent="0.3">
      <c r="A26" s="1" t="s">
        <v>22</v>
      </c>
      <c r="B26">
        <f>(1/B13-1/A13)*B24</f>
        <v>55947.342803486317</v>
      </c>
    </row>
    <row r="28" spans="1:9" x14ac:dyDescent="0.3">
      <c r="A28" s="1" t="s">
        <v>23</v>
      </c>
      <c r="B28">
        <f>SQRT(B26)</f>
        <v>236.53190652317144</v>
      </c>
    </row>
    <row r="30" spans="1:9" x14ac:dyDescent="0.3">
      <c r="A30" s="1" t="s">
        <v>24</v>
      </c>
      <c r="B30">
        <f>I13</f>
        <v>27616.32633067741</v>
      </c>
    </row>
    <row r="31" spans="1:9" x14ac:dyDescent="0.3">
      <c r="A31" s="1"/>
    </row>
    <row r="32" spans="1:9" x14ac:dyDescent="0.3">
      <c r="A32" s="1" t="s">
        <v>25</v>
      </c>
      <c r="B32">
        <f>(1/B13-1/A13)*G13</f>
        <v>31493.437695048749</v>
      </c>
    </row>
    <row r="34" spans="1:4" x14ac:dyDescent="0.3">
      <c r="A34" s="1" t="s">
        <v>26</v>
      </c>
      <c r="B34">
        <f>SQRT(B30)</f>
        <v>166.18160647519753</v>
      </c>
    </row>
    <row r="35" spans="1:4" x14ac:dyDescent="0.3">
      <c r="A35" s="1"/>
    </row>
    <row r="36" spans="1:4" ht="15.6" x14ac:dyDescent="0.3">
      <c r="A36" s="11" t="s">
        <v>21</v>
      </c>
    </row>
    <row r="37" spans="1:4" x14ac:dyDescent="0.3">
      <c r="A37" s="8" t="s">
        <v>27</v>
      </c>
      <c r="B37" s="8"/>
      <c r="C37" s="8"/>
      <c r="D37">
        <f>(1/B13-1/A13)*(D22-A22)</f>
        <v>24449.367363937945</v>
      </c>
    </row>
    <row r="39" spans="1:4" x14ac:dyDescent="0.3">
      <c r="A39" t="s">
        <v>28</v>
      </c>
      <c r="B39">
        <f>D37/B32*100</f>
        <v>77.633212355797411</v>
      </c>
    </row>
  </sheetData>
  <mergeCells count="21">
    <mergeCell ref="A37:C37"/>
    <mergeCell ref="H18:I18"/>
    <mergeCell ref="H19:I19"/>
    <mergeCell ref="H20:I20"/>
    <mergeCell ref="H21:I21"/>
    <mergeCell ref="H22:I22"/>
    <mergeCell ref="F18:G18"/>
    <mergeCell ref="F19:G19"/>
    <mergeCell ref="F20:G20"/>
    <mergeCell ref="F21:G21"/>
    <mergeCell ref="F22:G22"/>
    <mergeCell ref="D18:E18"/>
    <mergeCell ref="D19:E19"/>
    <mergeCell ref="D20:E20"/>
    <mergeCell ref="D21:E21"/>
    <mergeCell ref="D22:E22"/>
    <mergeCell ref="B18:C18"/>
    <mergeCell ref="B19:C19"/>
    <mergeCell ref="B20:C20"/>
    <mergeCell ref="B21:C21"/>
    <mergeCell ref="B22:C22"/>
  </mergeCells>
  <pageMargins left="0.7" right="0.7" top="0.75" bottom="0.75" header="0.3" footer="0.3"/>
  <ignoredErrors>
    <ignoredError sqref="F10:F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COMP17</dc:creator>
  <cp:lastModifiedBy>Ankit Chauhan</cp:lastModifiedBy>
  <dcterms:created xsi:type="dcterms:W3CDTF">2025-04-21T04:07:56Z</dcterms:created>
  <dcterms:modified xsi:type="dcterms:W3CDTF">2025-04-22T16:46:44Z</dcterms:modified>
</cp:coreProperties>
</file>