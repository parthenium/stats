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17\Desktop\"/>
    </mc:Choice>
  </mc:AlternateContent>
  <xr:revisionPtr revIDLastSave="0" documentId="13_ncr:1_{B5624188-74B1-4532-8B56-709FD458930F}" xr6:coauthVersionLast="47" xr6:coauthVersionMax="47" xr10:uidLastSave="{00000000-0000-0000-0000-000000000000}"/>
  <bookViews>
    <workbookView xWindow="-120" yWindow="-120" windowWidth="29040" windowHeight="15720" xr2:uid="{50668EB7-39BC-4157-AEEC-44B2A534E9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1" i="1" l="1"/>
  <c r="E49" i="1"/>
  <c r="G15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18" i="1"/>
  <c r="F43" i="1"/>
  <c r="F36" i="1"/>
  <c r="D43" i="1"/>
  <c r="D42" i="1"/>
  <c r="D41" i="1"/>
  <c r="D40" i="1"/>
  <c r="D39" i="1"/>
  <c r="D38" i="1"/>
  <c r="D37" i="1"/>
  <c r="D35" i="1"/>
  <c r="D36" i="1"/>
  <c r="D34" i="1"/>
  <c r="D33" i="1"/>
  <c r="D32" i="1"/>
  <c r="D31" i="1"/>
  <c r="D30" i="1"/>
  <c r="D29" i="1"/>
  <c r="D28" i="1"/>
  <c r="D19" i="1"/>
  <c r="D20" i="1"/>
  <c r="D21" i="1"/>
  <c r="D22" i="1"/>
  <c r="D23" i="1"/>
  <c r="D24" i="1"/>
  <c r="D25" i="1"/>
  <c r="D26" i="1"/>
  <c r="D27" i="1"/>
  <c r="F42" i="1"/>
  <c r="J42" i="1"/>
  <c r="K42" i="1" s="1"/>
  <c r="F41" i="1"/>
  <c r="J41" i="1"/>
  <c r="K41" i="1"/>
  <c r="F40" i="1"/>
  <c r="J40" i="1"/>
  <c r="K40" i="1" s="1"/>
  <c r="I42" i="1"/>
  <c r="I41" i="1"/>
  <c r="I40" i="1"/>
  <c r="F39" i="1"/>
  <c r="J39" i="1"/>
  <c r="K39" i="1"/>
  <c r="I39" i="1"/>
  <c r="F38" i="1"/>
  <c r="J38" i="1"/>
  <c r="K38" i="1"/>
  <c r="I38" i="1"/>
  <c r="F37" i="1"/>
  <c r="J37" i="1"/>
  <c r="K37" i="1"/>
  <c r="I37" i="1"/>
  <c r="J36" i="1"/>
  <c r="K36" i="1" s="1"/>
  <c r="I36" i="1"/>
  <c r="F35" i="1"/>
  <c r="J35" i="1"/>
  <c r="I35" i="1"/>
  <c r="F34" i="1"/>
  <c r="J34" i="1"/>
  <c r="I34" i="1"/>
  <c r="F33" i="1"/>
  <c r="J33" i="1"/>
  <c r="I33" i="1"/>
  <c r="F32" i="1"/>
  <c r="J32" i="1"/>
  <c r="I32" i="1"/>
  <c r="F31" i="1"/>
  <c r="J31" i="1"/>
  <c r="I31" i="1"/>
  <c r="F30" i="1"/>
  <c r="J30" i="1"/>
  <c r="I30" i="1"/>
  <c r="F29" i="1"/>
  <c r="J29" i="1"/>
  <c r="I29" i="1"/>
  <c r="F28" i="1"/>
  <c r="J28" i="1"/>
  <c r="I28" i="1"/>
  <c r="C5" i="1"/>
  <c r="C6" i="1"/>
  <c r="C7" i="1"/>
  <c r="C8" i="1"/>
  <c r="C4" i="1"/>
  <c r="J19" i="1"/>
  <c r="J20" i="1"/>
  <c r="J21" i="1"/>
  <c r="J22" i="1"/>
  <c r="J23" i="1"/>
  <c r="J24" i="1"/>
  <c r="J25" i="1"/>
  <c r="J26" i="1"/>
  <c r="J27" i="1"/>
  <c r="J18" i="1"/>
  <c r="I19" i="1"/>
  <c r="I20" i="1"/>
  <c r="I21" i="1"/>
  <c r="I22" i="1"/>
  <c r="I23" i="1"/>
  <c r="I24" i="1"/>
  <c r="I25" i="1"/>
  <c r="I26" i="1"/>
  <c r="I27" i="1"/>
  <c r="I18" i="1"/>
  <c r="D48" i="1"/>
  <c r="F19" i="1"/>
  <c r="F20" i="1"/>
  <c r="F21" i="1"/>
  <c r="F22" i="1"/>
  <c r="F23" i="1"/>
  <c r="F24" i="1"/>
  <c r="F25" i="1"/>
  <c r="F26" i="1"/>
  <c r="F27" i="1"/>
  <c r="F18" i="1"/>
  <c r="D18" i="1"/>
  <c r="B11" i="1"/>
  <c r="B9" i="1"/>
  <c r="K34" i="1" l="1"/>
  <c r="K31" i="1"/>
  <c r="K33" i="1"/>
  <c r="K35" i="1"/>
  <c r="K30" i="1"/>
  <c r="K28" i="1"/>
  <c r="C45" i="1"/>
  <c r="K26" i="1"/>
  <c r="K32" i="1"/>
  <c r="K29" i="1"/>
  <c r="C9" i="1"/>
  <c r="K21" i="1"/>
  <c r="K19" i="1"/>
  <c r="K23" i="1"/>
  <c r="K24" i="1"/>
  <c r="K25" i="1"/>
  <c r="K22" i="1"/>
  <c r="K20" i="1"/>
  <c r="K27" i="1"/>
  <c r="K18" i="1"/>
  <c r="C13" i="1"/>
  <c r="F8" i="1" l="1"/>
  <c r="D46" i="1"/>
</calcChain>
</file>

<file path=xl/sharedStrings.xml><?xml version="1.0" encoding="utf-8"?>
<sst xmlns="http://schemas.openxmlformats.org/spreadsheetml/2006/main" count="42" uniqueCount="40">
  <si>
    <t>Data</t>
  </si>
  <si>
    <t xml:space="preserve">Population Mean = </t>
  </si>
  <si>
    <t>N =</t>
  </si>
  <si>
    <t>TOTAL =</t>
  </si>
  <si>
    <t>Total number of samples of size 2 without replacement =</t>
  </si>
  <si>
    <t xml:space="preserve">n = </t>
  </si>
  <si>
    <t>Samples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</si>
  <si>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</si>
  <si>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</si>
  <si>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</si>
  <si>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</si>
  <si>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</si>
  <si>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</si>
  <si>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</si>
  <si>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</si>
  <si>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</si>
  <si>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</si>
  <si>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Sample Mean</t>
  </si>
  <si>
    <t>Total =</t>
  </si>
  <si>
    <t xml:space="preserve">Mean of sample mean = </t>
  </si>
  <si>
    <t>Mean of sample mean square =</t>
  </si>
  <si>
    <t xml:space="preserve">Population mean square = </t>
  </si>
  <si>
    <t>Sample Mean Square</t>
  </si>
  <si>
    <t xml:space="preserve">Variance of Sample Mean = 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</si>
  <si>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</si>
  <si>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</si>
  <si>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</si>
  <si>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</si>
  <si>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</si>
  <si>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</si>
  <si>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</si>
  <si>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</si>
  <si>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</si>
  <si>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</si>
  <si>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</si>
  <si>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</si>
  <si>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</si>
  <si>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</si>
  <si>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</si>
  <si>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Practical 4 SRSWR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</si>
</sst>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648-A8B4-4D2C-8D2E-DE2ED2244C41}">
  <dimension ref="A1:AA155"/>
  <sheetViews>
    <sheetView tabSelected="1" topLeftCell="A11" workbookViewId="0">
      <selection activeCell="A11" sqref="A11:G51"/>
    </sheetView>
  </sheetViews>
  <sheetFormatPr defaultRowHeight="15" x14ac:dyDescent="0.25"/>
  <sheetData>
    <row r="1" spans="1:27" ht="18.75" x14ac:dyDescent="0.3">
      <c r="A1" s="3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2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1"/>
      <c r="B4" s="1">
        <v>122</v>
      </c>
      <c r="C4" s="1">
        <f>B4^2</f>
        <v>14884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5">
      <c r="A5" s="1"/>
      <c r="B5" s="1">
        <v>143</v>
      </c>
      <c r="C5" s="1">
        <f t="shared" ref="C5:C8" si="0">B5^2</f>
        <v>20449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 s="1"/>
      <c r="B6" s="1">
        <v>129</v>
      </c>
      <c r="C6" s="1">
        <f t="shared" si="0"/>
        <v>16641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5">
      <c r="A7" s="1"/>
      <c r="B7" s="1">
        <v>150</v>
      </c>
      <c r="C7" s="1">
        <f t="shared" si="0"/>
        <v>22500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5">
      <c r="A8" s="1"/>
      <c r="B8" s="1">
        <v>110</v>
      </c>
      <c r="C8" s="1">
        <f t="shared" si="0"/>
        <v>12100</v>
      </c>
      <c r="D8" s="1"/>
      <c r="E8" s="1"/>
      <c r="F8" s="1">
        <f>(C9 - B11 * (C13^2))/(B11-1)</f>
        <v>257.69999999999709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5">
      <c r="A9" s="2" t="s">
        <v>3</v>
      </c>
      <c r="B9" s="2">
        <f>SUM(B4:B8)</f>
        <v>654</v>
      </c>
      <c r="C9" s="1">
        <f>SUM(C4:C8)</f>
        <v>86574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5">
      <c r="A11" s="1" t="s">
        <v>2</v>
      </c>
      <c r="B11" s="1">
        <f>COUNT(B4:B8)</f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5">
      <c r="A12" s="1" t="s">
        <v>5</v>
      </c>
      <c r="B12" s="1">
        <v>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5">
      <c r="A13" s="5" t="s">
        <v>1</v>
      </c>
      <c r="B13" s="5"/>
      <c r="C13" s="2">
        <f>B9/B11</f>
        <v>130.80000000000001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5">
      <c r="A15" s="4" t="s">
        <v>4</v>
      </c>
      <c r="B15" s="1"/>
      <c r="C15" s="1"/>
      <c r="D15" s="1"/>
      <c r="E15" s="1"/>
      <c r="F15" s="1"/>
      <c r="G15" s="1">
        <f>B11^2</f>
        <v>25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5">
      <c r="A17" s="2" t="s">
        <v>6</v>
      </c>
      <c r="B17" s="1"/>
      <c r="C17" s="1"/>
      <c r="D17" s="5" t="s">
        <v>17</v>
      </c>
      <c r="E17" s="1"/>
      <c r="F17" s="5" t="s">
        <v>22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5">
      <c r="A18" s="1" t="s">
        <v>7</v>
      </c>
      <c r="B18" s="1">
        <v>122</v>
      </c>
      <c r="C18" s="1">
        <v>143</v>
      </c>
      <c r="D18" s="1">
        <f>SUM(B18:C18) / B12</f>
        <v>132.5</v>
      </c>
      <c r="E18" s="1"/>
      <c r="F18" s="1">
        <f>_xlfn.VAR.S(B18:C18)</f>
        <v>220.5</v>
      </c>
      <c r="G18" s="1"/>
      <c r="H18" s="1"/>
      <c r="I18" s="1">
        <f>B18^2</f>
        <v>14884</v>
      </c>
      <c r="J18" s="1">
        <f>C18^2</f>
        <v>20449</v>
      </c>
      <c r="K18" s="1">
        <f>SUM(I18:J18)</f>
        <v>35333</v>
      </c>
      <c r="L18" s="1">
        <f>(K18-(2*D18^2))/(2-1)</f>
        <v>220.5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5">
      <c r="A19" s="1" t="s">
        <v>8</v>
      </c>
      <c r="B19" s="1">
        <v>122</v>
      </c>
      <c r="C19" s="1">
        <v>129</v>
      </c>
      <c r="D19" s="1">
        <f>SUM(B19:C19) / B12</f>
        <v>125.5</v>
      </c>
      <c r="E19" s="1"/>
      <c r="F19" s="1">
        <f t="shared" ref="F19:F26" si="1">_xlfn.VAR.S(B19:C19)</f>
        <v>24.5</v>
      </c>
      <c r="G19" s="1"/>
      <c r="H19" s="1"/>
      <c r="I19" s="1">
        <f t="shared" ref="I19:I26" si="2">B19^2</f>
        <v>14884</v>
      </c>
      <c r="J19" s="1">
        <f t="shared" ref="J19:J26" si="3">C19^2</f>
        <v>16641</v>
      </c>
      <c r="K19" s="1">
        <f t="shared" ref="K19:K26" si="4">SUM(I19:J19)</f>
        <v>31525</v>
      </c>
      <c r="L19" s="1">
        <f t="shared" ref="L19:L42" si="5">(K19-(2*D19^2))/(2-1)</f>
        <v>24.5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5">
      <c r="A20" s="1" t="s">
        <v>9</v>
      </c>
      <c r="B20" s="1">
        <v>122</v>
      </c>
      <c r="C20" s="1">
        <v>150</v>
      </c>
      <c r="D20" s="1">
        <f>SUM(B20:C20) / B12</f>
        <v>136</v>
      </c>
      <c r="E20" s="1"/>
      <c r="F20" s="1">
        <f t="shared" si="1"/>
        <v>392</v>
      </c>
      <c r="G20" s="1"/>
      <c r="H20" s="1"/>
      <c r="I20" s="1">
        <f t="shared" si="2"/>
        <v>14884</v>
      </c>
      <c r="J20" s="1">
        <f t="shared" si="3"/>
        <v>22500</v>
      </c>
      <c r="K20" s="1">
        <f t="shared" si="4"/>
        <v>37384</v>
      </c>
      <c r="L20" s="1">
        <f t="shared" si="5"/>
        <v>392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5">
      <c r="A21" s="1" t="s">
        <v>10</v>
      </c>
      <c r="B21" s="1">
        <v>122</v>
      </c>
      <c r="C21" s="1">
        <v>110</v>
      </c>
      <c r="D21" s="1">
        <f>SUM(B21:C21) / B12</f>
        <v>116</v>
      </c>
      <c r="E21" s="1"/>
      <c r="F21" s="1">
        <f t="shared" si="1"/>
        <v>72</v>
      </c>
      <c r="G21" s="1"/>
      <c r="H21" s="1"/>
      <c r="I21" s="1">
        <f t="shared" si="2"/>
        <v>14884</v>
      </c>
      <c r="J21" s="1">
        <f t="shared" si="3"/>
        <v>12100</v>
      </c>
      <c r="K21" s="1">
        <f t="shared" si="4"/>
        <v>26984</v>
      </c>
      <c r="L21" s="1">
        <f t="shared" si="5"/>
        <v>72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 t="s">
        <v>11</v>
      </c>
      <c r="B22" s="1">
        <v>143</v>
      </c>
      <c r="C22" s="1">
        <v>129</v>
      </c>
      <c r="D22" s="1">
        <f>SUM(B22:C22) / B12</f>
        <v>136</v>
      </c>
      <c r="E22" s="1"/>
      <c r="F22" s="1">
        <f t="shared" si="1"/>
        <v>98</v>
      </c>
      <c r="G22" s="1"/>
      <c r="H22" s="1"/>
      <c r="I22" s="1">
        <f t="shared" si="2"/>
        <v>20449</v>
      </c>
      <c r="J22" s="1">
        <f t="shared" si="3"/>
        <v>16641</v>
      </c>
      <c r="K22" s="1">
        <f t="shared" si="4"/>
        <v>37090</v>
      </c>
      <c r="L22" s="1">
        <f t="shared" si="5"/>
        <v>98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 t="s">
        <v>12</v>
      </c>
      <c r="B23" s="1">
        <v>143</v>
      </c>
      <c r="C23" s="1">
        <v>150</v>
      </c>
      <c r="D23" s="1">
        <f>SUM(B23:C23) / B12</f>
        <v>146.5</v>
      </c>
      <c r="E23" s="1"/>
      <c r="F23" s="1">
        <f t="shared" si="1"/>
        <v>24.5</v>
      </c>
      <c r="G23" s="1"/>
      <c r="H23" s="1"/>
      <c r="I23" s="1">
        <f t="shared" si="2"/>
        <v>20449</v>
      </c>
      <c r="J23" s="1">
        <f t="shared" si="3"/>
        <v>22500</v>
      </c>
      <c r="K23" s="1">
        <f t="shared" si="4"/>
        <v>42949</v>
      </c>
      <c r="L23" s="1">
        <f t="shared" si="5"/>
        <v>24.5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 t="s">
        <v>13</v>
      </c>
      <c r="B24" s="1">
        <v>143</v>
      </c>
      <c r="C24" s="1">
        <v>110</v>
      </c>
      <c r="D24" s="1">
        <f>SUM(B24:C24) / B12</f>
        <v>126.5</v>
      </c>
      <c r="E24" s="1"/>
      <c r="F24" s="1">
        <f t="shared" si="1"/>
        <v>544.5</v>
      </c>
      <c r="G24" s="1"/>
      <c r="H24" s="1"/>
      <c r="I24" s="1">
        <f t="shared" si="2"/>
        <v>20449</v>
      </c>
      <c r="J24" s="1">
        <f t="shared" si="3"/>
        <v>12100</v>
      </c>
      <c r="K24" s="1">
        <f t="shared" si="4"/>
        <v>32549</v>
      </c>
      <c r="L24" s="1">
        <f t="shared" si="5"/>
        <v>544.5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 t="s">
        <v>14</v>
      </c>
      <c r="B25" s="1">
        <v>129</v>
      </c>
      <c r="C25" s="1">
        <v>150</v>
      </c>
      <c r="D25" s="1">
        <f>SUM(B25:C25) / B12</f>
        <v>139.5</v>
      </c>
      <c r="E25" s="1"/>
      <c r="F25" s="1">
        <f t="shared" si="1"/>
        <v>220.5</v>
      </c>
      <c r="G25" s="1"/>
      <c r="H25" s="1"/>
      <c r="I25" s="1">
        <f t="shared" si="2"/>
        <v>16641</v>
      </c>
      <c r="J25" s="1">
        <f t="shared" si="3"/>
        <v>22500</v>
      </c>
      <c r="K25" s="1">
        <f t="shared" si="4"/>
        <v>39141</v>
      </c>
      <c r="L25" s="1">
        <f t="shared" si="5"/>
        <v>220.5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 t="s">
        <v>15</v>
      </c>
      <c r="B26" s="1">
        <v>129</v>
      </c>
      <c r="C26" s="1">
        <v>110</v>
      </c>
      <c r="D26" s="1">
        <f>SUM(B26:C26) / B12</f>
        <v>119.5</v>
      </c>
      <c r="E26" s="1"/>
      <c r="F26" s="1">
        <f t="shared" si="1"/>
        <v>180.5</v>
      </c>
      <c r="G26" s="1"/>
      <c r="H26" s="1"/>
      <c r="I26" s="1">
        <f t="shared" si="2"/>
        <v>16641</v>
      </c>
      <c r="J26" s="1">
        <f t="shared" si="3"/>
        <v>12100</v>
      </c>
      <c r="K26" s="1">
        <f t="shared" si="4"/>
        <v>28741</v>
      </c>
      <c r="L26" s="1">
        <f t="shared" si="5"/>
        <v>180.5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 t="s">
        <v>16</v>
      </c>
      <c r="B27" s="1">
        <v>150</v>
      </c>
      <c r="C27" s="1">
        <v>110</v>
      </c>
      <c r="D27" s="1">
        <f>SUM(B27:C27) / B12</f>
        <v>130</v>
      </c>
      <c r="E27" s="1"/>
      <c r="F27" s="1">
        <f>_xlfn.VAR.S(B27:C27)</f>
        <v>800</v>
      </c>
      <c r="G27" s="1"/>
      <c r="H27" s="1"/>
      <c r="I27" s="1">
        <f>B27^2</f>
        <v>22500</v>
      </c>
      <c r="J27" s="1">
        <f>C27^2</f>
        <v>12100</v>
      </c>
      <c r="K27" s="1">
        <f>SUM(I27:J27)</f>
        <v>34600</v>
      </c>
      <c r="L27" s="1">
        <f t="shared" si="5"/>
        <v>800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 t="s">
        <v>24</v>
      </c>
      <c r="B28" s="1">
        <v>122</v>
      </c>
      <c r="C28" s="1">
        <v>122</v>
      </c>
      <c r="D28" s="1">
        <f>SUM(B28:C28) / B12</f>
        <v>122</v>
      </c>
      <c r="F28" s="1">
        <f>_xlfn.VAR.S(B28:C28)</f>
        <v>0</v>
      </c>
      <c r="I28" s="1">
        <f>B28^2</f>
        <v>14884</v>
      </c>
      <c r="J28" s="1">
        <f>C28^2</f>
        <v>14884</v>
      </c>
      <c r="K28" s="1">
        <f>SUM(I28:J28)</f>
        <v>29768</v>
      </c>
      <c r="L28" s="1">
        <f t="shared" si="5"/>
        <v>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 t="s">
        <v>25</v>
      </c>
      <c r="B29" s="1">
        <v>143</v>
      </c>
      <c r="C29" s="1">
        <v>143</v>
      </c>
      <c r="D29" s="1">
        <f>SUM(B29:C29) / B12</f>
        <v>143</v>
      </c>
      <c r="E29" s="1"/>
      <c r="F29" s="1">
        <f>_xlfn.VAR.S(B29:C29)</f>
        <v>0</v>
      </c>
      <c r="G29" s="1"/>
      <c r="H29" s="1"/>
      <c r="I29" s="1">
        <f>B29^2</f>
        <v>20449</v>
      </c>
      <c r="J29" s="1">
        <f>C29^2</f>
        <v>20449</v>
      </c>
      <c r="K29" s="1">
        <f>SUM(I29:J29)</f>
        <v>40898</v>
      </c>
      <c r="L29" s="1">
        <f t="shared" si="5"/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 t="s">
        <v>26</v>
      </c>
      <c r="B30" s="1">
        <v>129</v>
      </c>
      <c r="C30" s="1">
        <v>129</v>
      </c>
      <c r="D30" s="1">
        <f>SUM(B30:C30) / B12</f>
        <v>129</v>
      </c>
      <c r="E30" s="1"/>
      <c r="F30" s="1">
        <f>_xlfn.VAR.S(B30:C30)</f>
        <v>0</v>
      </c>
      <c r="G30" s="1"/>
      <c r="H30" s="1"/>
      <c r="I30" s="1">
        <f>B30^2</f>
        <v>16641</v>
      </c>
      <c r="J30" s="1">
        <f>C30^2</f>
        <v>16641</v>
      </c>
      <c r="K30" s="1">
        <f>SUM(I30:J30)</f>
        <v>33282</v>
      </c>
      <c r="L30" s="1">
        <f t="shared" si="5"/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 t="s">
        <v>27</v>
      </c>
      <c r="B31" s="1">
        <v>150</v>
      </c>
      <c r="C31" s="1">
        <v>150</v>
      </c>
      <c r="D31" s="1">
        <f>SUM(B31:C31) / B12</f>
        <v>150</v>
      </c>
      <c r="E31" s="1"/>
      <c r="F31" s="1">
        <f>_xlfn.VAR.S(B31:C31)</f>
        <v>0</v>
      </c>
      <c r="G31" s="1"/>
      <c r="H31" s="1"/>
      <c r="I31" s="1">
        <f>B31^2</f>
        <v>22500</v>
      </c>
      <c r="J31" s="1">
        <f>C31^2</f>
        <v>22500</v>
      </c>
      <c r="K31" s="1">
        <f>SUM(I31:J31)</f>
        <v>45000</v>
      </c>
      <c r="L31" s="1">
        <f t="shared" si="5"/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 t="s">
        <v>28</v>
      </c>
      <c r="B32" s="1">
        <v>110</v>
      </c>
      <c r="C32" s="1">
        <v>110</v>
      </c>
      <c r="D32" s="1">
        <f>SUM(B32:C32) / B12</f>
        <v>110</v>
      </c>
      <c r="E32" s="1"/>
      <c r="F32" s="1">
        <f>_xlfn.VAR.S(B32:C32)</f>
        <v>0</v>
      </c>
      <c r="G32" s="1"/>
      <c r="H32" s="1"/>
      <c r="I32" s="1">
        <f>B32^2</f>
        <v>12100</v>
      </c>
      <c r="J32" s="1">
        <f>C32^2</f>
        <v>12100</v>
      </c>
      <c r="K32" s="1">
        <f>SUM(I32:J32)</f>
        <v>24200</v>
      </c>
      <c r="L32" s="1">
        <f t="shared" si="5"/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 t="s">
        <v>29</v>
      </c>
      <c r="B33" s="1">
        <v>143</v>
      </c>
      <c r="C33" s="1">
        <v>122</v>
      </c>
      <c r="D33" s="1">
        <f>SUM(B33:C33) / B12</f>
        <v>132.5</v>
      </c>
      <c r="E33" s="1"/>
      <c r="F33" s="1">
        <f>_xlfn.VAR.S(B33:C33)</f>
        <v>220.5</v>
      </c>
      <c r="G33" s="1"/>
      <c r="H33" s="1"/>
      <c r="I33" s="1">
        <f>B33^2</f>
        <v>20449</v>
      </c>
      <c r="J33" s="1">
        <f>C33^2</f>
        <v>14884</v>
      </c>
      <c r="K33" s="1">
        <f>SUM(I33:J33)</f>
        <v>35333</v>
      </c>
      <c r="L33" s="1">
        <f t="shared" si="5"/>
        <v>220.5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 t="s">
        <v>30</v>
      </c>
      <c r="B34" s="1">
        <v>129</v>
      </c>
      <c r="C34" s="1">
        <v>122</v>
      </c>
      <c r="D34" s="1">
        <f>SUM(B34:C34) / B12</f>
        <v>125.5</v>
      </c>
      <c r="E34" s="1"/>
      <c r="F34" s="1">
        <f>_xlfn.VAR.S(B34:C34)</f>
        <v>24.5</v>
      </c>
      <c r="G34" s="1"/>
      <c r="H34" s="1"/>
      <c r="I34" s="1">
        <f>B34^2</f>
        <v>16641</v>
      </c>
      <c r="J34" s="1">
        <f>C34^2</f>
        <v>14884</v>
      </c>
      <c r="K34" s="1">
        <f>SUM(I34:J34)</f>
        <v>31525</v>
      </c>
      <c r="L34" s="1">
        <f t="shared" si="5"/>
        <v>24.5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 t="s">
        <v>31</v>
      </c>
      <c r="B35" s="1">
        <v>129</v>
      </c>
      <c r="C35" s="1">
        <v>143</v>
      </c>
      <c r="D35" s="1">
        <f>SUM(B35:C35) / B12</f>
        <v>136</v>
      </c>
      <c r="E35" s="1"/>
      <c r="F35" s="1">
        <f>_xlfn.VAR.S(B35:C35)</f>
        <v>98</v>
      </c>
      <c r="G35" s="1"/>
      <c r="H35" s="1"/>
      <c r="I35" s="1">
        <f>B35^2</f>
        <v>16641</v>
      </c>
      <c r="J35" s="1">
        <f>C35^2</f>
        <v>20449</v>
      </c>
      <c r="K35" s="1">
        <f>SUM(I35:J35)</f>
        <v>37090</v>
      </c>
      <c r="L35" s="1">
        <f t="shared" si="5"/>
        <v>98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 t="s">
        <v>32</v>
      </c>
      <c r="B36" s="1">
        <v>150</v>
      </c>
      <c r="C36" s="1">
        <v>122</v>
      </c>
      <c r="D36" s="1">
        <f>SUM(B36:C36) / B12</f>
        <v>136</v>
      </c>
      <c r="E36" s="1"/>
      <c r="F36" s="1">
        <f>_xlfn.VAR.S(B36:C36)</f>
        <v>392</v>
      </c>
      <c r="G36" s="1"/>
      <c r="H36" s="1"/>
      <c r="I36" s="1">
        <f>B36^2</f>
        <v>22500</v>
      </c>
      <c r="J36" s="1">
        <f>C36^2</f>
        <v>14884</v>
      </c>
      <c r="K36" s="1">
        <f>SUM(I36:J36)</f>
        <v>37384</v>
      </c>
      <c r="L36" s="1">
        <f t="shared" si="5"/>
        <v>392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 t="s">
        <v>33</v>
      </c>
      <c r="B37" s="1">
        <v>150</v>
      </c>
      <c r="C37" s="1">
        <v>143</v>
      </c>
      <c r="D37" s="1">
        <f>SUM(B37:C37) / B12</f>
        <v>146.5</v>
      </c>
      <c r="E37" s="1"/>
      <c r="F37" s="1">
        <f>_xlfn.VAR.S(B37:C37)</f>
        <v>24.5</v>
      </c>
      <c r="G37" s="1"/>
      <c r="H37" s="1"/>
      <c r="I37" s="1">
        <f>B37^2</f>
        <v>22500</v>
      </c>
      <c r="J37" s="1">
        <f>C37^2</f>
        <v>20449</v>
      </c>
      <c r="K37" s="1">
        <f>SUM(I37:J37)</f>
        <v>42949</v>
      </c>
      <c r="L37" s="1">
        <f t="shared" si="5"/>
        <v>24.5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 t="s">
        <v>34</v>
      </c>
      <c r="B38" s="1">
        <v>150</v>
      </c>
      <c r="C38" s="1">
        <v>129</v>
      </c>
      <c r="D38" s="1">
        <f>SUM(B38:C38) / B12</f>
        <v>139.5</v>
      </c>
      <c r="E38" s="1"/>
      <c r="F38" s="1">
        <f>_xlfn.VAR.S(B38:C38)</f>
        <v>220.5</v>
      </c>
      <c r="G38" s="1"/>
      <c r="H38" s="1"/>
      <c r="I38" s="1">
        <f>B38^2</f>
        <v>22500</v>
      </c>
      <c r="J38" s="1">
        <f>C38^2</f>
        <v>16641</v>
      </c>
      <c r="K38" s="1">
        <f>SUM(I38:J38)</f>
        <v>39141</v>
      </c>
      <c r="L38" s="1">
        <f t="shared" si="5"/>
        <v>220.5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 t="s">
        <v>35</v>
      </c>
      <c r="B39" s="1">
        <v>110</v>
      </c>
      <c r="C39" s="1">
        <v>122</v>
      </c>
      <c r="D39" s="1">
        <f>SUM(B39:C39) / B12</f>
        <v>116</v>
      </c>
      <c r="E39" s="1"/>
      <c r="F39" s="1">
        <f>_xlfn.VAR.S(B39:C39)</f>
        <v>72</v>
      </c>
      <c r="G39" s="1"/>
      <c r="H39" s="1"/>
      <c r="I39" s="1">
        <f>B39^2</f>
        <v>12100</v>
      </c>
      <c r="J39" s="1">
        <f>C39^2</f>
        <v>14884</v>
      </c>
      <c r="K39" s="1">
        <f>SUM(I39:J39)</f>
        <v>26984</v>
      </c>
      <c r="L39" s="1">
        <f t="shared" si="5"/>
        <v>72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 t="s">
        <v>36</v>
      </c>
      <c r="B40" s="1">
        <v>110</v>
      </c>
      <c r="C40" s="1">
        <v>143</v>
      </c>
      <c r="D40" s="1">
        <f>SUM(B40:C40) / B12</f>
        <v>126.5</v>
      </c>
      <c r="E40" s="1"/>
      <c r="F40" s="1">
        <f>_xlfn.VAR.S(B40:C40)</f>
        <v>544.5</v>
      </c>
      <c r="G40" s="1"/>
      <c r="H40" s="1"/>
      <c r="I40" s="1">
        <f>B40^2</f>
        <v>12100</v>
      </c>
      <c r="J40" s="1">
        <f>C40^2</f>
        <v>20449</v>
      </c>
      <c r="K40" s="1">
        <f>SUM(I40:J40)</f>
        <v>32549</v>
      </c>
      <c r="L40" s="1">
        <f t="shared" si="5"/>
        <v>544.5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 t="s">
        <v>37</v>
      </c>
      <c r="B41" s="1">
        <v>110</v>
      </c>
      <c r="C41" s="1">
        <v>129</v>
      </c>
      <c r="D41" s="1">
        <f>SUM(B41:C41) / B12</f>
        <v>119.5</v>
      </c>
      <c r="E41" s="1"/>
      <c r="F41" s="1">
        <f>_xlfn.VAR.S(B41:C41)</f>
        <v>180.5</v>
      </c>
      <c r="G41" s="1"/>
      <c r="H41" s="1"/>
      <c r="I41" s="1">
        <f>B41^2</f>
        <v>12100</v>
      </c>
      <c r="J41" s="1">
        <f>C41^2</f>
        <v>16641</v>
      </c>
      <c r="K41" s="1">
        <f>SUM(I41:J41)</f>
        <v>28741</v>
      </c>
      <c r="L41" s="1">
        <f t="shared" si="5"/>
        <v>180.5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 t="s">
        <v>38</v>
      </c>
      <c r="B42" s="1">
        <v>110</v>
      </c>
      <c r="C42" s="1">
        <v>150</v>
      </c>
      <c r="D42" s="1">
        <f>SUM(B42:C42) / B12</f>
        <v>130</v>
      </c>
      <c r="E42" s="1"/>
      <c r="F42" s="1">
        <f>_xlfn.VAR.S(B42:C42)</f>
        <v>800</v>
      </c>
      <c r="G42" s="1"/>
      <c r="H42" s="1"/>
      <c r="I42" s="1">
        <f>B42^2</f>
        <v>12100</v>
      </c>
      <c r="J42" s="1">
        <f>C42^2</f>
        <v>22500</v>
      </c>
      <c r="K42" s="1">
        <f>SUM(I42:J42)</f>
        <v>34600</v>
      </c>
      <c r="L42" s="1">
        <f t="shared" si="5"/>
        <v>800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2" t="s">
        <v>18</v>
      </c>
      <c r="D43" s="2">
        <f>SUM(D18:D42)</f>
        <v>3270</v>
      </c>
      <c r="E43" s="2" t="s">
        <v>18</v>
      </c>
      <c r="F43" s="2">
        <f>SUM(F18:F42)</f>
        <v>5154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5" t="s">
        <v>1</v>
      </c>
      <c r="B45" s="5"/>
      <c r="C45" s="2">
        <f>B9/B11</f>
        <v>130.80000000000001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5" t="s">
        <v>19</v>
      </c>
      <c r="B46" s="2"/>
      <c r="C46" s="2"/>
      <c r="D46" s="2">
        <f>D43/G15</f>
        <v>130.80000000000001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5" t="s">
        <v>21</v>
      </c>
      <c r="B48" s="5"/>
      <c r="C48" s="5"/>
      <c r="D48" s="5">
        <f>VAR(B4:B8)</f>
        <v>257.70000000000073</v>
      </c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5" t="s">
        <v>20</v>
      </c>
      <c r="B49" s="5"/>
      <c r="C49" s="5"/>
      <c r="D49" s="5"/>
      <c r="E49" s="2">
        <f>F43/G15</f>
        <v>206.16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5" t="s">
        <v>23</v>
      </c>
      <c r="B51" s="2"/>
      <c r="C51" s="2"/>
      <c r="D51" s="2">
        <f>D48/2</f>
        <v>128.85000000000036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COMP17</cp:lastModifiedBy>
  <dcterms:created xsi:type="dcterms:W3CDTF">2025-03-17T04:10:00Z</dcterms:created>
  <dcterms:modified xsi:type="dcterms:W3CDTF">2025-03-24T05:29:25Z</dcterms:modified>
</cp:coreProperties>
</file>