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17\Desktop\"/>
    </mc:Choice>
  </mc:AlternateContent>
  <xr:revisionPtr revIDLastSave="0" documentId="13_ncr:1_{1BC1C2DA-2CDC-41EC-AD68-F71177438333}" xr6:coauthVersionLast="47" xr6:coauthVersionMax="47" xr10:uidLastSave="{00000000-0000-0000-0000-000000000000}"/>
  <bookViews>
    <workbookView xWindow="-120" yWindow="-120" windowWidth="29040" windowHeight="15720" xr2:uid="{14B63C28-47F5-485E-8C03-C736994259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E22" i="1"/>
  <c r="D23" i="1"/>
  <c r="D22" i="1"/>
  <c r="C23" i="1"/>
  <c r="C22" i="1"/>
  <c r="C24" i="1"/>
  <c r="B23" i="1"/>
  <c r="B15" i="1"/>
  <c r="C15" i="1"/>
  <c r="D15" i="1"/>
  <c r="E15" i="1"/>
  <c r="F15" i="1"/>
  <c r="B16" i="1"/>
  <c r="C16" i="1"/>
  <c r="D16" i="1"/>
  <c r="J16" i="1" s="1"/>
  <c r="E16" i="1"/>
  <c r="F16" i="1"/>
  <c r="G16" i="1"/>
  <c r="H16" i="1"/>
  <c r="I16" i="1"/>
  <c r="B17" i="1"/>
  <c r="C17" i="1"/>
  <c r="D17" i="1"/>
  <c r="E17" i="1"/>
  <c r="F17" i="1"/>
  <c r="G17" i="1"/>
  <c r="C14" i="1"/>
  <c r="J14" i="1" s="1"/>
  <c r="D14" i="1"/>
  <c r="E14" i="1"/>
  <c r="F14" i="1"/>
  <c r="G14" i="1"/>
  <c r="H14" i="1"/>
  <c r="B14" i="1"/>
  <c r="J15" i="1"/>
  <c r="B10" i="1"/>
  <c r="K5" i="1"/>
  <c r="K6" i="1"/>
  <c r="K4" i="1"/>
  <c r="J5" i="1"/>
  <c r="J6" i="1"/>
  <c r="J7" i="1"/>
  <c r="K7" i="1" s="1"/>
  <c r="J4" i="1"/>
  <c r="K8" i="1" l="1"/>
  <c r="J8" i="1"/>
  <c r="E10" i="1" s="1"/>
  <c r="B22" i="1" s="1"/>
  <c r="J17" i="1"/>
  <c r="J18" i="1"/>
  <c r="B24" i="1" s="1"/>
</calcChain>
</file>

<file path=xl/sharedStrings.xml><?xml version="1.0" encoding="utf-8"?>
<sst xmlns="http://schemas.openxmlformats.org/spreadsheetml/2006/main" count="23" uniqueCount="20">
  <si>
    <t>Experiment 2</t>
  </si>
  <si>
    <t>Batches</t>
  </si>
  <si>
    <t>Total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</si>
  <si>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i.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</si>
  <si>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i.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</si>
  <si>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 xml:space="preserve">N = </t>
  </si>
  <si>
    <t xml:space="preserve">CF = </t>
  </si>
  <si>
    <t xml:space="preserve">k = </t>
  </si>
  <si>
    <r>
      <t>Life of Bulbs in Hours(y</t>
    </r>
    <r>
      <rPr>
        <b/>
        <vertAlign val="subscript"/>
        <sz val="11"/>
        <color theme="1"/>
        <rFont val="Calibri"/>
        <family val="2"/>
        <scheme val="minor"/>
      </rPr>
      <t>ij</t>
    </r>
    <r>
      <rPr>
        <b/>
        <sz val="11"/>
        <color theme="1"/>
        <rFont val="Calibri"/>
        <family val="2"/>
        <scheme val="minor"/>
      </rPr>
      <t>)</t>
    </r>
  </si>
  <si>
    <t>RSS</t>
  </si>
  <si>
    <r>
      <t>Life of Bulbs in Hours(y</t>
    </r>
    <r>
      <rPr>
        <b/>
        <vertAlign val="subscript"/>
        <sz val="11"/>
        <color theme="1"/>
        <rFont val="Calibri"/>
        <family val="2"/>
        <scheme val="minor"/>
      </rPr>
      <t>ij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</si>
  <si>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ANOVA</t>
  </si>
  <si>
    <t>Source of Variation</t>
  </si>
  <si>
    <t>Treatment</t>
  </si>
  <si>
    <t>Error</t>
  </si>
  <si>
    <t>SS</t>
  </si>
  <si>
    <t>df</t>
  </si>
  <si>
    <t>MSS</t>
  </si>
  <si>
    <r>
      <t>F</t>
    </r>
    <r>
      <rPr>
        <b/>
        <vertAlign val="subscript"/>
        <sz val="11"/>
        <color theme="1"/>
        <rFont val="Calibri"/>
        <family val="2"/>
        <scheme val="minor"/>
      </rPr>
      <t>calculated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</si>
  <si>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critical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</si>
</sst>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889A-AF76-4F72-A673-FE2B755263AE}">
  <dimension ref="A1:X718"/>
  <sheetViews>
    <sheetView tabSelected="1" workbookViewId="0">
      <selection activeCell="N11" sqref="N11"/>
    </sheetView>
  </sheetViews>
  <sheetFormatPr defaultRowHeight="15" x14ac:dyDescent="0.25"/>
  <cols>
    <col min="1" max="1" width="18.140625" bestFit="1" customWidth="1"/>
    <col min="5" max="5" width="11" bestFit="1" customWidth="1"/>
    <col min="11" max="11" width="10" bestFit="1" customWidth="1"/>
  </cols>
  <sheetData>
    <row r="1" spans="1:24" ht="18.75" x14ac:dyDescent="0.3">
      <c r="A1" s="3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.75" x14ac:dyDescent="0.35">
      <c r="A3" s="5" t="s">
        <v>1</v>
      </c>
      <c r="B3" s="6" t="s">
        <v>8</v>
      </c>
      <c r="C3" s="7"/>
      <c r="D3" s="7"/>
      <c r="E3" s="7"/>
      <c r="F3" s="7"/>
      <c r="G3" s="7"/>
      <c r="H3" s="7"/>
      <c r="I3" s="7"/>
      <c r="J3" s="5" t="s">
        <v>3</v>
      </c>
      <c r="K3" s="5" t="s">
        <v>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8">
        <v>1</v>
      </c>
      <c r="B4" s="8">
        <v>1600</v>
      </c>
      <c r="C4" s="8">
        <v>1610</v>
      </c>
      <c r="D4" s="8">
        <v>1650</v>
      </c>
      <c r="E4" s="8">
        <v>1680</v>
      </c>
      <c r="F4" s="8">
        <v>1700</v>
      </c>
      <c r="G4" s="8">
        <v>1720</v>
      </c>
      <c r="H4" s="8">
        <v>1800</v>
      </c>
      <c r="I4" s="8"/>
      <c r="J4" s="8">
        <f>SUM(B4:I4)</f>
        <v>11760</v>
      </c>
      <c r="K4" s="8">
        <f>J4^2</f>
        <v>138297600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8">
        <v>2</v>
      </c>
      <c r="B5" s="8">
        <v>1580</v>
      </c>
      <c r="C5" s="8">
        <v>1640</v>
      </c>
      <c r="D5" s="8">
        <v>1640</v>
      </c>
      <c r="E5" s="8">
        <v>1700</v>
      </c>
      <c r="F5" s="8">
        <v>1750</v>
      </c>
      <c r="G5" s="8"/>
      <c r="H5" s="8"/>
      <c r="I5" s="8"/>
      <c r="J5" s="8">
        <f t="shared" ref="J5:J7" si="0">SUM(B5:I5)</f>
        <v>8310</v>
      </c>
      <c r="K5" s="8">
        <f t="shared" ref="K5:K7" si="1">J5^2</f>
        <v>69056100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8">
        <v>3</v>
      </c>
      <c r="B6" s="8">
        <v>1460</v>
      </c>
      <c r="C6" s="8">
        <v>1550</v>
      </c>
      <c r="D6" s="8">
        <v>1600</v>
      </c>
      <c r="E6" s="8">
        <v>1620</v>
      </c>
      <c r="F6" s="8">
        <v>1640</v>
      </c>
      <c r="G6" s="8">
        <v>1660</v>
      </c>
      <c r="H6" s="8">
        <v>1740</v>
      </c>
      <c r="I6" s="8">
        <v>1820</v>
      </c>
      <c r="J6" s="8">
        <f t="shared" si="0"/>
        <v>13090</v>
      </c>
      <c r="K6" s="8">
        <f t="shared" si="1"/>
        <v>171348100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8">
        <v>4</v>
      </c>
      <c r="B7" s="8">
        <v>1510</v>
      </c>
      <c r="C7" s="8">
        <v>1520</v>
      </c>
      <c r="D7" s="8">
        <v>1530</v>
      </c>
      <c r="E7" s="8">
        <v>1570</v>
      </c>
      <c r="F7" s="8">
        <v>1600</v>
      </c>
      <c r="G7" s="8">
        <v>1680</v>
      </c>
      <c r="H7" s="8"/>
      <c r="I7" s="8"/>
      <c r="J7" s="8">
        <f t="shared" si="0"/>
        <v>9410</v>
      </c>
      <c r="K7" s="8">
        <f t="shared" si="1"/>
        <v>88548100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I8" s="5" t="s">
        <v>2</v>
      </c>
      <c r="J8" s="5">
        <f>SUM(J4:J7)</f>
        <v>42570</v>
      </c>
      <c r="K8" s="5">
        <f>SUM(K4:K7)</f>
        <v>467249900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4" t="s">
        <v>5</v>
      </c>
      <c r="B10" s="4">
        <f>COUNT(B4:I7)</f>
        <v>26</v>
      </c>
      <c r="C10" s="1"/>
      <c r="D10" s="4" t="s">
        <v>6</v>
      </c>
      <c r="E10" s="4">
        <f>(J8^2)/B10</f>
        <v>69700188.461538464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4" t="s">
        <v>7</v>
      </c>
      <c r="B11" s="4">
        <v>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8.75" x14ac:dyDescent="0.35">
      <c r="A13" s="5" t="s">
        <v>1</v>
      </c>
      <c r="B13" s="6" t="s">
        <v>10</v>
      </c>
      <c r="C13" s="7"/>
      <c r="D13" s="7"/>
      <c r="E13" s="7"/>
      <c r="F13" s="7"/>
      <c r="G13" s="7"/>
      <c r="H13" s="7"/>
      <c r="I13" s="7"/>
      <c r="J13" s="5" t="s">
        <v>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8">
        <v>1</v>
      </c>
      <c r="B14" s="8">
        <f>B4^2</f>
        <v>2560000</v>
      </c>
      <c r="C14" s="8">
        <f t="shared" ref="C14:I14" si="2">C4^2</f>
        <v>2592100</v>
      </c>
      <c r="D14" s="8">
        <f t="shared" si="2"/>
        <v>2722500</v>
      </c>
      <c r="E14" s="8">
        <f t="shared" si="2"/>
        <v>2822400</v>
      </c>
      <c r="F14" s="8">
        <f t="shared" si="2"/>
        <v>2890000</v>
      </c>
      <c r="G14" s="8">
        <f t="shared" si="2"/>
        <v>2958400</v>
      </c>
      <c r="H14" s="8">
        <f t="shared" si="2"/>
        <v>3240000</v>
      </c>
      <c r="I14" s="8"/>
      <c r="J14" s="8">
        <f>SUM(B14:I14)</f>
        <v>19785400</v>
      </c>
      <c r="K14" s="1"/>
      <c r="L14" s="1"/>
      <c r="M14" s="1"/>
      <c r="U14" s="1"/>
      <c r="V14" s="1"/>
      <c r="W14" s="1"/>
      <c r="X14" s="1"/>
    </row>
    <row r="15" spans="1:24" x14ac:dyDescent="0.25">
      <c r="A15" s="8">
        <v>2</v>
      </c>
      <c r="B15" s="8">
        <f t="shared" ref="B15:I15" si="3">B5^2</f>
        <v>2496400</v>
      </c>
      <c r="C15" s="8">
        <f t="shared" si="3"/>
        <v>2689600</v>
      </c>
      <c r="D15" s="8">
        <f t="shared" si="3"/>
        <v>2689600</v>
      </c>
      <c r="E15" s="8">
        <f t="shared" si="3"/>
        <v>2890000</v>
      </c>
      <c r="F15" s="8">
        <f t="shared" si="3"/>
        <v>3062500</v>
      </c>
      <c r="G15" s="8"/>
      <c r="H15" s="8"/>
      <c r="I15" s="8"/>
      <c r="J15" s="8">
        <f t="shared" ref="J15:J17" si="4">SUM(B15:I15)</f>
        <v>13828100</v>
      </c>
      <c r="K15" s="1"/>
      <c r="L15" s="1"/>
      <c r="M15" s="1"/>
      <c r="U15" s="1"/>
      <c r="V15" s="1"/>
      <c r="W15" s="1"/>
      <c r="X15" s="1"/>
    </row>
    <row r="16" spans="1:24" ht="15.75" thickBot="1" x14ac:dyDescent="0.3">
      <c r="A16" s="8">
        <v>3</v>
      </c>
      <c r="B16" s="8">
        <f t="shared" ref="B16:I16" si="5">B6^2</f>
        <v>2131600</v>
      </c>
      <c r="C16" s="8">
        <f t="shared" si="5"/>
        <v>2402500</v>
      </c>
      <c r="D16" s="8">
        <f t="shared" si="5"/>
        <v>2560000</v>
      </c>
      <c r="E16" s="8">
        <f t="shared" si="5"/>
        <v>2624400</v>
      </c>
      <c r="F16" s="8">
        <f t="shared" si="5"/>
        <v>2689600</v>
      </c>
      <c r="G16" s="8">
        <f t="shared" si="5"/>
        <v>2755600</v>
      </c>
      <c r="H16" s="8">
        <f t="shared" si="5"/>
        <v>3027600</v>
      </c>
      <c r="I16" s="8">
        <f t="shared" si="5"/>
        <v>3312400</v>
      </c>
      <c r="J16" s="8">
        <f t="shared" si="4"/>
        <v>21503700</v>
      </c>
      <c r="K16" s="1"/>
      <c r="L16" s="1"/>
      <c r="M16" s="1"/>
      <c r="U16" s="1"/>
      <c r="V16" s="1"/>
      <c r="W16" s="1"/>
      <c r="X16" s="1"/>
    </row>
    <row r="17" spans="1:24" x14ac:dyDescent="0.25">
      <c r="A17" s="8">
        <v>4</v>
      </c>
      <c r="B17" s="8">
        <f t="shared" ref="B17:I17" si="6">B7^2</f>
        <v>2280100</v>
      </c>
      <c r="C17" s="8">
        <f t="shared" si="6"/>
        <v>2310400</v>
      </c>
      <c r="D17" s="8">
        <f t="shared" si="6"/>
        <v>2340900</v>
      </c>
      <c r="E17" s="8">
        <f t="shared" si="6"/>
        <v>2464900</v>
      </c>
      <c r="F17" s="8">
        <f t="shared" si="6"/>
        <v>2560000</v>
      </c>
      <c r="G17" s="8">
        <f t="shared" si="6"/>
        <v>2822400</v>
      </c>
      <c r="H17" s="8"/>
      <c r="I17" s="8"/>
      <c r="J17" s="8">
        <f t="shared" si="4"/>
        <v>14778700</v>
      </c>
      <c r="K17" s="1"/>
      <c r="L17" s="1"/>
      <c r="M17" s="1"/>
      <c r="N17" s="12"/>
      <c r="O17" s="12"/>
      <c r="P17" s="12"/>
      <c r="Q17" s="12"/>
      <c r="R17" s="12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5" t="s">
        <v>9</v>
      </c>
      <c r="J18" s="5">
        <f>SUM(J14:J17)</f>
        <v>69895900</v>
      </c>
      <c r="K18" s="1"/>
      <c r="L18" s="1"/>
      <c r="M18" s="1"/>
      <c r="N18" s="10"/>
      <c r="O18" s="10"/>
      <c r="P18" s="10"/>
      <c r="Q18" s="10"/>
      <c r="R18" s="10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/>
      <c r="O19" s="10"/>
      <c r="P19" s="10"/>
      <c r="Q19" s="10"/>
      <c r="R19" s="10"/>
      <c r="U19" s="1"/>
      <c r="V19" s="1"/>
      <c r="W19" s="1"/>
      <c r="X19" s="1"/>
    </row>
    <row r="20" spans="1:24" ht="21" x14ac:dyDescent="0.35">
      <c r="A20" s="9" t="s">
        <v>11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0"/>
      <c r="O20" s="10"/>
      <c r="P20" s="10"/>
      <c r="Q20" s="10"/>
      <c r="R20" s="10"/>
      <c r="U20" s="1"/>
      <c r="V20" s="1"/>
      <c r="W20" s="1"/>
      <c r="X20" s="1"/>
    </row>
    <row r="21" spans="1:24" ht="18.75" thickBot="1" x14ac:dyDescent="0.4">
      <c r="A21" s="14" t="s">
        <v>12</v>
      </c>
      <c r="B21" s="14" t="s">
        <v>15</v>
      </c>
      <c r="C21" s="14" t="s">
        <v>16</v>
      </c>
      <c r="D21" s="14" t="s">
        <v>17</v>
      </c>
      <c r="E21" s="14" t="s">
        <v>18</v>
      </c>
      <c r="F21" s="14" t="s">
        <v>19</v>
      </c>
      <c r="G21" s="1"/>
      <c r="H21" s="1"/>
      <c r="I21" s="1"/>
      <c r="J21" s="1"/>
      <c r="K21" s="1"/>
      <c r="L21" s="1"/>
      <c r="M21" s="1"/>
      <c r="N21" s="11"/>
      <c r="O21" s="11"/>
      <c r="P21" s="11"/>
      <c r="Q21" s="11"/>
      <c r="R21" s="11"/>
      <c r="U21" s="1"/>
      <c r="V21" s="1"/>
      <c r="W21" s="1"/>
      <c r="X21" s="1"/>
    </row>
    <row r="22" spans="1:24" x14ac:dyDescent="0.25">
      <c r="A22" s="14" t="s">
        <v>13</v>
      </c>
      <c r="B22" s="13">
        <f>(K4/7)+(K5/5)+(K6/8)+(K7/6)-E10</f>
        <v>44360.705128207803</v>
      </c>
      <c r="C22" s="13">
        <f>B11-1</f>
        <v>3</v>
      </c>
      <c r="D22" s="13">
        <f>B22/C22</f>
        <v>14786.9017094026</v>
      </c>
      <c r="E22" s="13">
        <f>D22/D23</f>
        <v>2.1493891407284482</v>
      </c>
      <c r="F22" s="13">
        <f>_xlfn.F.INV(0.95, 3, 22)</f>
        <v>3.0491249886524106</v>
      </c>
      <c r="G22" s="1"/>
      <c r="H22" s="1"/>
      <c r="I22" s="1"/>
      <c r="J22" s="1"/>
      <c r="K22" s="1"/>
      <c r="L22" s="1"/>
      <c r="M22" s="1"/>
      <c r="U22" s="1"/>
      <c r="V22" s="1"/>
      <c r="W22" s="1"/>
      <c r="X22" s="1"/>
    </row>
    <row r="23" spans="1:24" x14ac:dyDescent="0.25">
      <c r="A23" s="14" t="s">
        <v>14</v>
      </c>
      <c r="B23" s="13">
        <f>B24-B22</f>
        <v>151350.83333332837</v>
      </c>
      <c r="C23" s="13">
        <f>B10-B11</f>
        <v>22</v>
      </c>
      <c r="D23" s="13">
        <f>B23/C23</f>
        <v>6879.5833333331075</v>
      </c>
      <c r="E23" s="13"/>
      <c r="F23" s="13"/>
      <c r="G23" s="1"/>
      <c r="H23" s="1"/>
      <c r="I23" s="1"/>
      <c r="J23" s="1"/>
      <c r="K23" s="1"/>
      <c r="L23" s="1"/>
      <c r="M23" s="1"/>
      <c r="U23" s="1"/>
      <c r="V23" s="1"/>
      <c r="W23" s="1"/>
      <c r="X23" s="1"/>
    </row>
    <row r="24" spans="1:24" x14ac:dyDescent="0.25">
      <c r="A24" s="14" t="s">
        <v>2</v>
      </c>
      <c r="B24" s="13">
        <f>J18-E10</f>
        <v>195711.53846153617</v>
      </c>
      <c r="C24" s="13">
        <f>B10-1</f>
        <v>25</v>
      </c>
      <c r="D24" s="13"/>
      <c r="E24" s="13"/>
      <c r="F24" s="13"/>
      <c r="G24" s="1"/>
      <c r="H24" s="1"/>
      <c r="I24" s="1"/>
      <c r="J24" s="1"/>
      <c r="K24" s="1"/>
      <c r="L24" s="1"/>
      <c r="M24" s="1"/>
      <c r="U24" s="1"/>
      <c r="V24" s="1"/>
      <c r="W24" s="1"/>
      <c r="X24" s="1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U25" s="1"/>
      <c r="V25" s="1"/>
      <c r="W25" s="1"/>
      <c r="X25" s="1"/>
    </row>
    <row r="26" spans="1:2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U26" s="1"/>
      <c r="V26" s="1"/>
      <c r="W26" s="1"/>
      <c r="X26" s="1"/>
    </row>
    <row r="27" spans="1:2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U27" s="1"/>
      <c r="V27" s="1"/>
      <c r="W27" s="1"/>
      <c r="X27" s="1"/>
    </row>
    <row r="28" spans="1:2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U28" s="1"/>
      <c r="V28" s="1"/>
      <c r="W28" s="1"/>
      <c r="X28" s="1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U29" s="1"/>
      <c r="V29" s="1"/>
      <c r="W29" s="1"/>
      <c r="X29" s="1"/>
    </row>
    <row r="30" spans="1:2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S71" s="1"/>
      <c r="T71" s="1"/>
      <c r="U71" s="1"/>
      <c r="V71" s="1"/>
      <c r="W71" s="1"/>
      <c r="X71" s="1"/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S72" s="1"/>
      <c r="T72" s="1"/>
      <c r="U72" s="1"/>
      <c r="V72" s="1"/>
      <c r="W72" s="1"/>
      <c r="X72" s="1"/>
    </row>
    <row r="73" spans="1:24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2"/>
      <c r="M74" s="12"/>
      <c r="N74" s="12"/>
      <c r="O74" s="12"/>
      <c r="P74" s="12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0"/>
      <c r="M75" s="10"/>
      <c r="N75" s="10"/>
      <c r="O75" s="10"/>
      <c r="P75" s="10"/>
      <c r="S75" s="1"/>
      <c r="T75" s="1"/>
      <c r="U75" s="1"/>
      <c r="V75" s="1"/>
      <c r="W75" s="1"/>
      <c r="X75" s="1"/>
    </row>
    <row r="76" spans="1:2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0"/>
      <c r="M76" s="10"/>
      <c r="N76" s="10"/>
      <c r="O76" s="10"/>
      <c r="P76" s="10"/>
      <c r="S76" s="1"/>
      <c r="T76" s="1"/>
      <c r="U76" s="1"/>
      <c r="V76" s="1"/>
      <c r="W76" s="1"/>
      <c r="X76" s="1"/>
    </row>
    <row r="77" spans="1:2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0"/>
      <c r="M77" s="10"/>
      <c r="N77" s="10"/>
      <c r="O77" s="10"/>
      <c r="P77" s="10"/>
      <c r="S77" s="1"/>
      <c r="T77" s="1"/>
      <c r="U77" s="1"/>
      <c r="V77" s="1"/>
      <c r="W77" s="1"/>
      <c r="X77" s="1"/>
    </row>
    <row r="78" spans="1:24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1"/>
      <c r="M78" s="11"/>
      <c r="N78" s="11"/>
      <c r="O78" s="11"/>
      <c r="P78" s="11"/>
      <c r="S78" s="1"/>
      <c r="T78" s="1"/>
      <c r="U78" s="1"/>
      <c r="V78" s="1"/>
      <c r="W78" s="1"/>
      <c r="X78" s="1"/>
    </row>
    <row r="79" spans="1:2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S79" s="1"/>
      <c r="T79" s="1"/>
      <c r="U79" s="1"/>
      <c r="V79" s="1"/>
      <c r="W79" s="1"/>
      <c r="X79" s="1"/>
    </row>
    <row r="80" spans="1:2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S80" s="1"/>
      <c r="T80" s="1"/>
      <c r="U80" s="1"/>
      <c r="V80" s="1"/>
      <c r="W80" s="1"/>
      <c r="X80" s="1"/>
    </row>
    <row r="81" spans="1:24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S81" s="1"/>
      <c r="T81" s="1"/>
      <c r="U81" s="1"/>
      <c r="V81" s="1"/>
      <c r="W81" s="1"/>
      <c r="X81" s="1"/>
    </row>
    <row r="82" spans="1:2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2"/>
      <c r="M82" s="12"/>
      <c r="N82" s="12"/>
      <c r="O82" s="12"/>
      <c r="P82" s="12"/>
      <c r="Q82" s="12"/>
      <c r="R82" s="12"/>
      <c r="S82" s="1"/>
      <c r="T82" s="1"/>
      <c r="U82" s="1"/>
      <c r="V82" s="1"/>
      <c r="W82" s="1"/>
      <c r="X82" s="1"/>
    </row>
    <row r="83" spans="1:2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0"/>
      <c r="M83" s="10"/>
      <c r="N83" s="10"/>
      <c r="O83" s="10"/>
      <c r="P83" s="10"/>
      <c r="Q83" s="10"/>
      <c r="R83" s="10"/>
      <c r="S83" s="1"/>
      <c r="T83" s="1"/>
      <c r="U83" s="1"/>
      <c r="V83" s="1"/>
      <c r="W83" s="1"/>
      <c r="X83" s="1"/>
    </row>
    <row r="84" spans="1:2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0"/>
      <c r="M84" s="10"/>
      <c r="N84" s="10"/>
      <c r="O84" s="10"/>
      <c r="P84" s="10"/>
      <c r="Q84" s="10"/>
      <c r="R84" s="10"/>
      <c r="S84" s="1"/>
      <c r="T84" s="1"/>
      <c r="U84" s="1"/>
      <c r="V84" s="1"/>
      <c r="W84" s="1"/>
      <c r="X84" s="1"/>
    </row>
    <row r="85" spans="1:2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0"/>
      <c r="M85" s="10"/>
      <c r="N85" s="10"/>
      <c r="O85" s="10"/>
      <c r="P85" s="10"/>
      <c r="Q85" s="10"/>
      <c r="R85" s="10"/>
      <c r="S85" s="1"/>
      <c r="T85" s="1"/>
      <c r="U85" s="1"/>
      <c r="V85" s="1"/>
      <c r="W85" s="1"/>
      <c r="X85" s="1"/>
    </row>
    <row r="86" spans="1:24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1"/>
      <c r="M86" s="11"/>
      <c r="N86" s="11"/>
      <c r="O86" s="11"/>
      <c r="P86" s="11"/>
      <c r="Q86" s="11"/>
      <c r="R86" s="11"/>
      <c r="S86" s="1"/>
      <c r="T86" s="1"/>
      <c r="U86" s="1"/>
      <c r="V86" s="1"/>
      <c r="W86" s="1"/>
      <c r="X86" s="1"/>
    </row>
    <row r="87" spans="1:2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</sheetData>
  <mergeCells count="3">
    <mergeCell ref="A1:B1"/>
    <mergeCell ref="B3:I3"/>
    <mergeCell ref="B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COMP17</dc:creator>
  <cp:lastModifiedBy>COMP17</cp:lastModifiedBy>
  <dcterms:created xsi:type="dcterms:W3CDTF">2025-02-03T03:54:47Z</dcterms:created>
  <dcterms:modified xsi:type="dcterms:W3CDTF">2025-02-03T05:03:31Z</dcterms:modified>
</cp:coreProperties>
</file>