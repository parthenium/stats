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t\Downloads\"/>
    </mc:Choice>
  </mc:AlternateContent>
  <xr:revisionPtr revIDLastSave="0" documentId="13_ncr:1_{85DF0041-F0D4-4F92-8B7C-2CF3C51C3DE5}" xr6:coauthVersionLast="47" xr6:coauthVersionMax="47" xr10:uidLastSave="{00000000-0000-0000-0000-000000000000}"/>
  <bookViews>
    <workbookView xWindow="-108" yWindow="-108" windowWidth="23256" windowHeight="12456" xr2:uid="{DF813C91-72BE-4644-812E-3EDD29F941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1" l="1"/>
  <c r="D36" i="1"/>
  <c r="D37" i="1"/>
  <c r="D38" i="1"/>
  <c r="D35" i="1"/>
  <c r="D39" i="1" s="1"/>
  <c r="B58" i="1"/>
  <c r="G5" i="1"/>
  <c r="G6" i="1"/>
  <c r="G7" i="1"/>
  <c r="G4" i="1"/>
  <c r="F5" i="1"/>
  <c r="F6" i="1"/>
  <c r="F7" i="1"/>
  <c r="F4" i="1"/>
  <c r="E5" i="1"/>
  <c r="E6" i="1"/>
  <c r="E7" i="1"/>
  <c r="E4" i="1"/>
  <c r="B11" i="1"/>
  <c r="B17" i="1" s="1"/>
  <c r="C17" i="1" s="1"/>
  <c r="B10" i="1"/>
  <c r="A53" i="1" l="1"/>
  <c r="C36" i="1"/>
  <c r="B36" i="1"/>
  <c r="E8" i="1"/>
  <c r="B25" i="1" s="1"/>
  <c r="B16" i="1"/>
  <c r="A52" i="1" s="1"/>
  <c r="B19" i="1"/>
  <c r="A55" i="1" s="1"/>
  <c r="B24" i="1"/>
  <c r="B18" i="1"/>
  <c r="A54" i="1" s="1"/>
  <c r="B27" i="1"/>
  <c r="B26" i="1"/>
  <c r="C18" i="1" l="1"/>
  <c r="B37" i="1"/>
  <c r="C37" i="1"/>
  <c r="C19" i="1"/>
  <c r="B38" i="1"/>
  <c r="C38" i="1"/>
  <c r="B35" i="1"/>
  <c r="B39" i="1" s="1"/>
  <c r="B46" i="1" s="1"/>
  <c r="C35" i="1"/>
  <c r="C39" i="1" s="1"/>
  <c r="B41" i="1" s="1"/>
  <c r="C16" i="1"/>
  <c r="B33" i="1"/>
  <c r="E35" i="1" l="1"/>
  <c r="E36" i="1"/>
  <c r="E37" i="1"/>
  <c r="E38" i="1"/>
  <c r="B42" i="1"/>
  <c r="E39" i="1" l="1"/>
</calcChain>
</file>

<file path=xl/sharedStrings.xml><?xml version="1.0" encoding="utf-8"?>
<sst xmlns="http://schemas.openxmlformats.org/spreadsheetml/2006/main" count="47" uniqueCount="42">
  <si>
    <t>Practical 6</t>
  </si>
  <si>
    <t>Size of Village</t>
  </si>
  <si>
    <t>1)</t>
  </si>
  <si>
    <t xml:space="preserve">n = </t>
  </si>
  <si>
    <t xml:space="preserve">N = </t>
  </si>
  <si>
    <t>(a) Strata Size Under Proportional Allocation</t>
  </si>
  <si>
    <t>I</t>
  </si>
  <si>
    <t>II</t>
  </si>
  <si>
    <t>III</t>
  </si>
  <si>
    <t>IV</t>
  </si>
  <si>
    <t>I)upto 500</t>
  </si>
  <si>
    <t>II)501-1500</t>
  </si>
  <si>
    <t>III)1501-2500</t>
  </si>
  <si>
    <t>IV)2500-</t>
  </si>
  <si>
    <t>Strata</t>
  </si>
  <si>
    <t>(b) Strata Size Under Neyman Allocation</t>
  </si>
  <si>
    <r>
      <t>No of Village(N</t>
    </r>
    <r>
      <rPr>
        <b/>
        <vertAlign val="subscript"/>
        <sz val="11"/>
        <color theme="1"/>
        <rFont val="Calibri"/>
        <family val="2"/>
      </rPr>
      <t>i</t>
    </r>
    <r>
      <rPr>
        <b/>
        <sz val="11"/>
        <color theme="1"/>
        <rFont val="Calibri"/>
        <family val="2"/>
      </rPr>
      <t>)</t>
    </r>
  </si>
  <si>
    <r>
      <t>Standard Deviation(S</t>
    </r>
    <r>
      <rPr>
        <b/>
        <vertAlign val="subscript"/>
        <sz val="11"/>
        <color theme="1"/>
        <rFont val="Calibri"/>
        <family val="2"/>
      </rPr>
      <t>i</t>
    </r>
    <r>
      <rPr>
        <b/>
        <sz val="11"/>
        <color theme="1"/>
        <rFont val="Calibri"/>
        <family val="2"/>
      </rPr>
      <t>)</t>
    </r>
  </si>
  <si>
    <r>
      <t>N</t>
    </r>
    <r>
      <rPr>
        <b/>
        <vertAlign val="subscript"/>
        <sz val="11"/>
        <color theme="1"/>
        <rFont val="Calibri"/>
        <family val="2"/>
      </rPr>
      <t>i</t>
    </r>
    <r>
      <rPr>
        <b/>
        <sz val="11"/>
        <color theme="1"/>
        <rFont val="Calibri"/>
        <family val="2"/>
      </rPr>
      <t>S</t>
    </r>
    <r>
      <rPr>
        <b/>
        <vertAlign val="subscript"/>
        <sz val="11"/>
        <color theme="1"/>
        <rFont val="Calibri"/>
        <family val="2"/>
      </rPr>
      <t>i</t>
    </r>
  </si>
  <si>
    <r>
      <t>Sum(N</t>
    </r>
    <r>
      <rPr>
        <b/>
        <vertAlign val="subscript"/>
        <sz val="11"/>
        <color theme="1"/>
        <rFont val="Calibri"/>
        <family val="2"/>
      </rPr>
      <t>i</t>
    </r>
    <r>
      <rPr>
        <b/>
        <sz val="11"/>
        <color theme="1"/>
        <rFont val="Calibri"/>
        <family val="2"/>
      </rPr>
      <t>S</t>
    </r>
    <r>
      <rPr>
        <b/>
        <vertAlign val="subscript"/>
        <sz val="11"/>
        <color theme="1"/>
        <rFont val="Calibri"/>
        <family val="2"/>
      </rPr>
      <t>i</t>
    </r>
    <r>
      <rPr>
        <b/>
        <sz val="11"/>
        <color theme="1"/>
        <rFont val="Calibri"/>
        <family val="2"/>
      </rPr>
      <t>) =</t>
    </r>
  </si>
  <si>
    <r>
      <t>P</t>
    </r>
    <r>
      <rPr>
        <b/>
        <vertAlign val="subscript"/>
        <sz val="11"/>
        <color theme="1"/>
        <rFont val="Calibri"/>
        <family val="2"/>
      </rPr>
      <t>i</t>
    </r>
  </si>
  <si>
    <r>
      <t>Strata Size(n</t>
    </r>
    <r>
      <rPr>
        <b/>
        <vertAlign val="subscript"/>
        <sz val="11"/>
        <color theme="1"/>
        <rFont val="Calibri"/>
        <family val="2"/>
      </rPr>
      <t>i</t>
    </r>
    <r>
      <rPr>
        <b/>
        <sz val="11"/>
        <color theme="1"/>
        <rFont val="Calibri"/>
        <family val="2"/>
      </rPr>
      <t>)</t>
    </r>
  </si>
  <si>
    <r>
      <t>Strata Size(n</t>
    </r>
    <r>
      <rPr>
        <b/>
        <vertAlign val="subscript"/>
        <sz val="11"/>
        <color theme="1"/>
        <rFont val="Aptos Narrow"/>
        <family val="2"/>
        <scheme val="minor"/>
      </rPr>
      <t>i</t>
    </r>
    <r>
      <rPr>
        <b/>
        <sz val="11"/>
        <color theme="1"/>
        <rFont val="Aptos Narrow"/>
        <family val="2"/>
        <scheme val="minor"/>
      </rPr>
      <t>)</t>
    </r>
  </si>
  <si>
    <t>2)</t>
  </si>
  <si>
    <t>(a) Variance Under SRSWOR</t>
  </si>
  <si>
    <r>
      <t>Ybar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 xml:space="preserve"> =</t>
    </r>
  </si>
  <si>
    <r>
      <t>S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=</t>
    </r>
  </si>
  <si>
    <t xml:space="preserve">Total = </t>
  </si>
  <si>
    <t>(b) Variance Under Proportional Allocation</t>
  </si>
  <si>
    <t>Var(prop) =</t>
  </si>
  <si>
    <r>
      <t>Mean area (Ybar</t>
    </r>
    <r>
      <rPr>
        <b/>
        <vertAlign val="subscript"/>
        <sz val="11"/>
        <color theme="1"/>
        <rFont val="Calibri"/>
        <family val="2"/>
      </rPr>
      <t>Ni</t>
    </r>
    <r>
      <rPr>
        <b/>
        <sz val="11"/>
        <color theme="1"/>
        <rFont val="Calibri"/>
        <family val="2"/>
      </rPr>
      <t>)</t>
    </r>
  </si>
  <si>
    <r>
      <t>Ybar</t>
    </r>
    <r>
      <rPr>
        <b/>
        <vertAlign val="subscript"/>
        <sz val="11"/>
        <color theme="1"/>
        <rFont val="Calibri"/>
        <family val="2"/>
      </rPr>
      <t>Ni</t>
    </r>
    <r>
      <rPr>
        <b/>
        <vertAlign val="superscript"/>
        <sz val="11"/>
        <color theme="1"/>
        <rFont val="Calibri"/>
        <family val="2"/>
      </rPr>
      <t>2</t>
    </r>
  </si>
  <si>
    <r>
      <t>S</t>
    </r>
    <r>
      <rPr>
        <b/>
        <vertAlign val="subscript"/>
        <sz val="11"/>
        <color theme="1"/>
        <rFont val="Calibri"/>
        <family val="2"/>
      </rPr>
      <t>i</t>
    </r>
    <r>
      <rPr>
        <b/>
        <vertAlign val="superscript"/>
        <sz val="11"/>
        <color theme="1"/>
        <rFont val="Calibri"/>
        <family val="2"/>
      </rPr>
      <t>2</t>
    </r>
  </si>
  <si>
    <t>(c) Variance Under Neyman Allocation</t>
  </si>
  <si>
    <t xml:space="preserve">Var(ney) = </t>
  </si>
  <si>
    <r>
      <t>P</t>
    </r>
    <r>
      <rPr>
        <b/>
        <vertAlign val="subscript"/>
        <sz val="11"/>
        <color theme="1"/>
        <rFont val="Aptos Narrow"/>
        <family val="2"/>
        <scheme val="minor"/>
      </rPr>
      <t>i</t>
    </r>
    <r>
      <rPr>
        <b/>
        <sz val="11"/>
        <color theme="1"/>
        <rFont val="Aptos Narrow"/>
        <family val="2"/>
        <scheme val="minor"/>
      </rPr>
      <t>S</t>
    </r>
    <r>
      <rPr>
        <b/>
        <vertAlign val="subscript"/>
        <sz val="11"/>
        <color theme="1"/>
        <rFont val="Aptos Narrow"/>
        <family val="2"/>
        <scheme val="minor"/>
      </rPr>
      <t>i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</si>
  <si>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r>
      <t>P</t>
    </r>
    <r>
      <rPr>
        <b/>
        <vertAlign val="subscript"/>
        <sz val="11"/>
        <color theme="1"/>
        <rFont val="Aptos Narrow"/>
        <family val="2"/>
        <scheme val="minor"/>
      </rPr>
      <t>i</t>
    </r>
    <r>
      <rPr>
        <b/>
        <sz val="11"/>
        <color theme="1"/>
        <rFont val="Aptos Narrow"/>
        <family val="2"/>
        <scheme val="minor"/>
      </rPr>
      <t>*(Ybar</t>
    </r>
    <r>
      <rPr>
        <b/>
        <vertAlign val="subscript"/>
        <sz val="11"/>
        <color theme="1"/>
        <rFont val="Aptos Narrow"/>
        <family val="2"/>
        <scheme val="minor"/>
      </rPr>
      <t>Ni</t>
    </r>
    <r>
      <rPr>
        <b/>
        <sz val="11"/>
        <color theme="1"/>
        <rFont val="Aptos Narrow"/>
        <family val="2"/>
        <scheme val="minor"/>
      </rPr>
      <t xml:space="preserve"> - Ybar</t>
    </r>
    <r>
      <rPr>
        <b/>
        <vertAlign val="subscript"/>
        <sz val="11"/>
        <color theme="1"/>
        <rFont val="Aptos Narrow"/>
        <family val="2"/>
        <scheme val="minor"/>
      </rPr>
      <t>N</t>
    </r>
    <r>
      <rPr>
        <b/>
        <sz val="11"/>
        <color theme="1"/>
        <rFont val="Aptos Narrow"/>
        <family val="2"/>
        <scheme val="minor"/>
      </rPr>
      <t>)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</si>
  <si>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r>
      <t>P</t>
    </r>
    <r>
      <rPr>
        <b/>
        <vertAlign val="subscript"/>
        <sz val="11"/>
        <color theme="1"/>
        <rFont val="Aptos Narrow"/>
        <family val="2"/>
        <scheme val="minor"/>
      </rPr>
      <t>i</t>
    </r>
    <r>
      <rPr>
        <b/>
        <sz val="11"/>
        <color theme="1"/>
        <rFont val="Aptos Narrow"/>
        <family val="2"/>
        <scheme val="minor"/>
      </rPr>
      <t>Ybar</t>
    </r>
    <r>
      <rPr>
        <b/>
        <vertAlign val="subscript"/>
        <sz val="11"/>
        <color theme="1"/>
        <rFont val="Aptos Narrow"/>
        <family val="2"/>
        <scheme val="minor"/>
      </rPr>
      <t>Ni</t>
    </r>
  </si>
  <si>
    <r>
      <t>P</t>
    </r>
    <r>
      <rPr>
        <b/>
        <vertAlign val="subscript"/>
        <sz val="11"/>
        <color theme="1"/>
        <rFont val="Aptos Narrow"/>
        <family val="2"/>
        <scheme val="minor"/>
      </rPr>
      <t>i</t>
    </r>
    <r>
      <rPr>
        <b/>
        <sz val="11"/>
        <color theme="1"/>
        <rFont val="Aptos Narrow"/>
        <family val="2"/>
        <scheme val="minor"/>
      </rPr>
      <t>Ybar</t>
    </r>
    <r>
      <rPr>
        <b/>
        <vertAlign val="subscript"/>
        <sz val="11"/>
        <color theme="1"/>
        <rFont val="Aptos Narrow"/>
        <family val="2"/>
        <scheme val="minor"/>
      </rPr>
      <t>Ni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</si>
  <si>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Var(srswor) =</t>
  </si>
  <si>
    <r>
      <t>(Sum(P</t>
    </r>
    <r>
      <rPr>
        <b/>
        <vertAlign val="subscript"/>
        <sz val="11"/>
        <color theme="1"/>
        <rFont val="Aptos Narrow"/>
        <family val="2"/>
        <scheme val="minor"/>
      </rPr>
      <t>i</t>
    </r>
    <r>
      <rPr>
        <b/>
        <sz val="11"/>
        <color theme="1"/>
        <rFont val="Aptos Narrow"/>
        <family val="2"/>
        <scheme val="minor"/>
      </rPr>
      <t>S</t>
    </r>
    <r>
      <rPr>
        <b/>
        <vertAlign val="subscript"/>
        <sz val="11"/>
        <color theme="1"/>
        <rFont val="Aptos Narrow"/>
        <family val="2"/>
        <scheme val="minor"/>
      </rPr>
      <t>i</t>
    </r>
    <r>
      <rPr>
        <b/>
        <sz val="11"/>
        <color theme="1"/>
        <rFont val="Aptos Narrow"/>
        <family val="2"/>
        <scheme val="minor"/>
      </rPr>
      <t>))</t>
    </r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=  </t>
    </r>
  </si>
  <si>
    <r>
      <t>P</t>
    </r>
    <r>
      <rPr>
        <b/>
        <vertAlign val="subscript"/>
        <sz val="11"/>
        <color theme="1"/>
        <rFont val="Aptos Narrow"/>
        <family val="2"/>
        <scheme val="minor"/>
      </rPr>
      <t>i</t>
    </r>
    <r>
      <rPr>
        <b/>
        <sz val="11"/>
        <color theme="1"/>
        <rFont val="Aptos Narrow"/>
        <family val="2"/>
        <scheme val="minor"/>
      </rPr>
      <t>S</t>
    </r>
    <r>
      <rPr>
        <b/>
        <vertAlign val="subscript"/>
        <sz val="11"/>
        <color theme="1"/>
        <rFont val="Aptos Narrow"/>
        <family val="2"/>
        <scheme val="minor"/>
      </rPr>
      <t>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</si>
</sst>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</font>
    <font>
      <b/>
      <vertAlign val="subscript"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b/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0" fillId="0" borderId="1" xfId="0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577850</xdr:colOff>
      <xdr:row>38</xdr:row>
      <xdr:rowOff>114300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892840C-8FEA-A27B-CB10-8AB5D1797BB2}"/>
            </a:ext>
          </a:extLst>
        </xdr:cNvPr>
        <xdr:cNvSpPr txBox="1"/>
      </xdr:nvSpPr>
      <xdr:spPr>
        <a:xfrm>
          <a:off x="5429250" y="70358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DA307-85E0-4CC0-8842-39C7376B25A6}">
  <dimension ref="A1:K58"/>
  <sheetViews>
    <sheetView tabSelected="1" topLeftCell="A12" zoomScale="120" zoomScaleNormal="120" workbookViewId="0">
      <selection activeCell="B24" sqref="B24"/>
    </sheetView>
  </sheetViews>
  <sheetFormatPr defaultRowHeight="14.4" x14ac:dyDescent="0.3"/>
  <cols>
    <col min="1" max="1" width="13.44140625" customWidth="1"/>
    <col min="2" max="2" width="13.88671875" bestFit="1" customWidth="1"/>
    <col min="3" max="3" width="17.109375" bestFit="1" customWidth="1"/>
    <col min="4" max="4" width="19.88671875" bestFit="1" customWidth="1"/>
    <col min="5" max="5" width="18.33203125" bestFit="1" customWidth="1"/>
  </cols>
  <sheetData>
    <row r="1" spans="1:11" ht="18" x14ac:dyDescent="0.35">
      <c r="A1" s="8" t="s">
        <v>0</v>
      </c>
      <c r="B1" s="8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6.8" x14ac:dyDescent="0.35">
      <c r="A3" s="4" t="s">
        <v>1</v>
      </c>
      <c r="B3" s="4" t="s">
        <v>16</v>
      </c>
      <c r="C3" s="4" t="s">
        <v>30</v>
      </c>
      <c r="D3" s="4" t="s">
        <v>17</v>
      </c>
      <c r="E3" s="4" t="s">
        <v>18</v>
      </c>
      <c r="F3" s="4" t="s">
        <v>32</v>
      </c>
      <c r="G3" s="4" t="s">
        <v>31</v>
      </c>
      <c r="H3" s="2"/>
      <c r="I3" s="2"/>
      <c r="J3" s="2"/>
      <c r="K3" s="2"/>
    </row>
    <row r="4" spans="1:11" x14ac:dyDescent="0.3">
      <c r="A4" s="5" t="s">
        <v>10</v>
      </c>
      <c r="B4" s="5">
        <v>63</v>
      </c>
      <c r="C4" s="5">
        <v>112.1</v>
      </c>
      <c r="D4" s="5">
        <v>56.3</v>
      </c>
      <c r="E4" s="5">
        <f>B4*D4</f>
        <v>3546.8999999999996</v>
      </c>
      <c r="F4" s="5">
        <f>D4^2</f>
        <v>3169.6899999999996</v>
      </c>
      <c r="G4" s="5">
        <f>C4^2</f>
        <v>12566.409999999998</v>
      </c>
      <c r="H4" s="2"/>
      <c r="I4" s="2"/>
      <c r="J4" s="2"/>
      <c r="K4" s="2"/>
    </row>
    <row r="5" spans="1:11" x14ac:dyDescent="0.3">
      <c r="A5" s="5" t="s">
        <v>11</v>
      </c>
      <c r="B5" s="5">
        <v>199</v>
      </c>
      <c r="C5" s="5">
        <v>276.7</v>
      </c>
      <c r="D5" s="5">
        <v>116.4</v>
      </c>
      <c r="E5" s="5">
        <f t="shared" ref="E5:E7" si="0">B5*D5</f>
        <v>23163.600000000002</v>
      </c>
      <c r="F5" s="5">
        <f t="shared" ref="F5:F7" si="1">D5^2</f>
        <v>13548.960000000001</v>
      </c>
      <c r="G5" s="5">
        <f t="shared" ref="G5:G7" si="2">C5^2</f>
        <v>76562.89</v>
      </c>
      <c r="H5" s="2"/>
      <c r="I5" s="2"/>
      <c r="J5" s="2"/>
      <c r="K5" s="2"/>
    </row>
    <row r="6" spans="1:11" x14ac:dyDescent="0.3">
      <c r="A6" s="5" t="s">
        <v>12</v>
      </c>
      <c r="B6" s="5">
        <v>53</v>
      </c>
      <c r="C6" s="5">
        <v>558.1</v>
      </c>
      <c r="D6" s="5">
        <v>186</v>
      </c>
      <c r="E6" s="5">
        <f t="shared" si="0"/>
        <v>9858</v>
      </c>
      <c r="F6" s="5">
        <f t="shared" si="1"/>
        <v>34596</v>
      </c>
      <c r="G6" s="5">
        <f t="shared" si="2"/>
        <v>311475.61000000004</v>
      </c>
      <c r="H6" s="2"/>
      <c r="I6" s="2"/>
      <c r="J6" s="2"/>
      <c r="K6" s="2"/>
    </row>
    <row r="7" spans="1:11" x14ac:dyDescent="0.3">
      <c r="A7" s="5" t="s">
        <v>13</v>
      </c>
      <c r="B7" s="5">
        <v>25</v>
      </c>
      <c r="C7" s="5">
        <v>860.1</v>
      </c>
      <c r="D7" s="5">
        <v>363.1</v>
      </c>
      <c r="E7" s="5">
        <f t="shared" si="0"/>
        <v>9077.5</v>
      </c>
      <c r="F7" s="5">
        <f t="shared" si="1"/>
        <v>131841.61000000002</v>
      </c>
      <c r="G7" s="5">
        <f t="shared" si="2"/>
        <v>739772.01</v>
      </c>
      <c r="H7" s="2"/>
      <c r="I7" s="2"/>
      <c r="J7" s="2"/>
      <c r="K7" s="2"/>
    </row>
    <row r="8" spans="1:11" ht="15.6" x14ac:dyDescent="0.35">
      <c r="A8" s="2"/>
      <c r="B8" s="2"/>
      <c r="C8" s="2"/>
      <c r="D8" s="4" t="s">
        <v>19</v>
      </c>
      <c r="E8" s="4">
        <f>SUM(E4:E7)</f>
        <v>45646</v>
      </c>
      <c r="F8" s="2"/>
      <c r="G8" s="2"/>
      <c r="H8" s="2"/>
      <c r="I8" s="2"/>
      <c r="J8" s="2"/>
      <c r="K8" s="2"/>
    </row>
    <row r="9" spans="1:11" x14ac:dyDescent="0.3">
      <c r="A9" s="3" t="s">
        <v>2</v>
      </c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3">
      <c r="A10" s="2" t="s">
        <v>3</v>
      </c>
      <c r="B10" s="2">
        <f>34</f>
        <v>34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3">
      <c r="A11" s="2" t="s">
        <v>4</v>
      </c>
      <c r="B11" s="2">
        <f>340</f>
        <v>340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3">
      <c r="A13" s="3" t="s">
        <v>5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3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5.6" x14ac:dyDescent="0.35">
      <c r="A15" s="4" t="s">
        <v>14</v>
      </c>
      <c r="B15" s="4" t="s">
        <v>20</v>
      </c>
      <c r="C15" s="4" t="s">
        <v>21</v>
      </c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5" t="s">
        <v>6</v>
      </c>
      <c r="B16" s="5">
        <f>B4/$B$11</f>
        <v>0.18529411764705883</v>
      </c>
      <c r="C16" s="5">
        <f>B16*$B$10</f>
        <v>6.3000000000000007</v>
      </c>
      <c r="D16" s="2"/>
      <c r="E16" s="2"/>
      <c r="F16" s="2"/>
      <c r="G16" s="2"/>
      <c r="H16" s="2"/>
      <c r="I16" s="2"/>
      <c r="J16" s="2"/>
      <c r="K16" s="2"/>
    </row>
    <row r="17" spans="1:11" x14ac:dyDescent="0.3">
      <c r="A17" s="5" t="s">
        <v>7</v>
      </c>
      <c r="B17" s="5">
        <f t="shared" ref="B17:B19" si="3">B5/$B$11</f>
        <v>0.58529411764705885</v>
      </c>
      <c r="C17" s="5">
        <f t="shared" ref="C17:C19" si="4">B17*$B$10</f>
        <v>19.900000000000002</v>
      </c>
      <c r="D17" s="2"/>
      <c r="E17" s="2"/>
      <c r="F17" s="2"/>
      <c r="G17" s="2"/>
      <c r="H17" s="2"/>
      <c r="I17" s="2"/>
      <c r="J17" s="2"/>
      <c r="K17" s="2"/>
    </row>
    <row r="18" spans="1:11" x14ac:dyDescent="0.3">
      <c r="A18" s="5" t="s">
        <v>8</v>
      </c>
      <c r="B18" s="5">
        <f t="shared" si="3"/>
        <v>0.15588235294117647</v>
      </c>
      <c r="C18" s="5">
        <f t="shared" si="4"/>
        <v>5.3</v>
      </c>
      <c r="D18" s="2"/>
      <c r="E18" s="2"/>
      <c r="F18" s="2"/>
      <c r="G18" s="2"/>
      <c r="H18" s="2"/>
      <c r="I18" s="2"/>
      <c r="J18" s="2"/>
      <c r="K18" s="2"/>
    </row>
    <row r="19" spans="1:11" x14ac:dyDescent="0.3">
      <c r="A19" s="5" t="s">
        <v>9</v>
      </c>
      <c r="B19" s="5">
        <f t="shared" si="3"/>
        <v>7.3529411764705885E-2</v>
      </c>
      <c r="C19" s="5">
        <f t="shared" si="4"/>
        <v>2.5</v>
      </c>
      <c r="D19" s="2"/>
      <c r="E19" s="2"/>
      <c r="F19" s="2"/>
      <c r="G19" s="2"/>
      <c r="H19" s="2"/>
      <c r="I19" s="2"/>
      <c r="J19" s="2"/>
      <c r="K19" s="2"/>
    </row>
    <row r="20" spans="1:1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3">
      <c r="A21" s="3" t="s">
        <v>15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3" spans="1:11" ht="15.6" x14ac:dyDescent="0.35">
      <c r="A23" s="4" t="s">
        <v>14</v>
      </c>
      <c r="B23" s="6" t="s">
        <v>22</v>
      </c>
    </row>
    <row r="24" spans="1:11" x14ac:dyDescent="0.3">
      <c r="A24" s="5" t="s">
        <v>6</v>
      </c>
      <c r="B24" s="7">
        <f>$B$10*E4/$E$8</f>
        <v>2.6419532927310168</v>
      </c>
    </row>
    <row r="25" spans="1:11" x14ac:dyDescent="0.3">
      <c r="A25" s="5" t="s">
        <v>7</v>
      </c>
      <c r="B25" s="7">
        <f t="shared" ref="B25:B27" si="5">$B$10*E5/$E$8</f>
        <v>17.253700214695701</v>
      </c>
    </row>
    <row r="26" spans="1:11" x14ac:dyDescent="0.3">
      <c r="A26" s="5" t="s">
        <v>8</v>
      </c>
      <c r="B26" s="7">
        <f t="shared" si="5"/>
        <v>7.3428558909871624</v>
      </c>
    </row>
    <row r="27" spans="1:11" x14ac:dyDescent="0.3">
      <c r="A27" s="5" t="s">
        <v>9</v>
      </c>
      <c r="B27" s="7">
        <f t="shared" si="5"/>
        <v>6.7614906015861189</v>
      </c>
    </row>
    <row r="30" spans="1:11" x14ac:dyDescent="0.3">
      <c r="A30" s="1" t="s">
        <v>23</v>
      </c>
    </row>
    <row r="31" spans="1:11" x14ac:dyDescent="0.3">
      <c r="A31" s="1" t="s">
        <v>24</v>
      </c>
    </row>
    <row r="32" spans="1:11" x14ac:dyDescent="0.3">
      <c r="A32" s="1"/>
    </row>
    <row r="33" spans="1:5" ht="15.6" x14ac:dyDescent="0.35">
      <c r="A33" s="1" t="s">
        <v>25</v>
      </c>
      <c r="B33">
        <f>(B16*C4)+(B17*C5)+(B18*C6)+(B19*C7)</f>
        <v>332.96294117647062</v>
      </c>
    </row>
    <row r="34" spans="1:5" ht="16.8" x14ac:dyDescent="0.35">
      <c r="A34" s="6"/>
      <c r="B34" s="6" t="s">
        <v>35</v>
      </c>
      <c r="C34" s="6" t="s">
        <v>38</v>
      </c>
      <c r="D34" s="6" t="s">
        <v>37</v>
      </c>
      <c r="E34" s="6" t="s">
        <v>36</v>
      </c>
    </row>
    <row r="35" spans="1:5" x14ac:dyDescent="0.3">
      <c r="A35" s="7"/>
      <c r="B35" s="7">
        <f>B16*F4</f>
        <v>587.3249117647058</v>
      </c>
      <c r="C35" s="7">
        <f>B16*G4</f>
        <v>2328.4818529411764</v>
      </c>
      <c r="D35" s="7">
        <f>B16*C4</f>
        <v>20.771470588235292</v>
      </c>
      <c r="E35" s="7">
        <f>B16*(C4-$B$33)^2</f>
        <v>9038.7283631253849</v>
      </c>
    </row>
    <row r="36" spans="1:5" x14ac:dyDescent="0.3">
      <c r="A36" s="7"/>
      <c r="B36" s="7">
        <f t="shared" ref="B36:B38" si="6">B17*F5</f>
        <v>7930.1265882352955</v>
      </c>
      <c r="C36" s="7">
        <f t="shared" ref="C36:C38" si="7">B17*G5</f>
        <v>44811.809147058826</v>
      </c>
      <c r="D36" s="7">
        <f t="shared" ref="D36:D38" si="8">B17*C5</f>
        <v>161.95088235294116</v>
      </c>
      <c r="E36" s="7">
        <f t="shared" ref="E36:E38" si="9">B17*(C5-$B$33)^2</f>
        <v>1852.7593865163883</v>
      </c>
    </row>
    <row r="37" spans="1:5" x14ac:dyDescent="0.3">
      <c r="A37" s="7"/>
      <c r="B37" s="7">
        <f t="shared" si="6"/>
        <v>5392.9058823529413</v>
      </c>
      <c r="C37" s="7">
        <f t="shared" si="7"/>
        <v>48553.550970588243</v>
      </c>
      <c r="D37" s="7">
        <f t="shared" si="8"/>
        <v>86.99794117647059</v>
      </c>
      <c r="E37" s="7">
        <f t="shared" si="9"/>
        <v>7901.161319272338</v>
      </c>
    </row>
    <row r="38" spans="1:5" x14ac:dyDescent="0.3">
      <c r="A38" s="7"/>
      <c r="B38" s="7">
        <f t="shared" si="6"/>
        <v>9694.2360294117661</v>
      </c>
      <c r="C38" s="7">
        <f t="shared" si="7"/>
        <v>54395.000735294117</v>
      </c>
      <c r="D38" s="7">
        <f t="shared" si="8"/>
        <v>63.242647058823536</v>
      </c>
      <c r="E38" s="7">
        <f t="shared" si="9"/>
        <v>20431.873440082436</v>
      </c>
    </row>
    <row r="39" spans="1:5" x14ac:dyDescent="0.3">
      <c r="A39" s="6" t="s">
        <v>27</v>
      </c>
      <c r="B39" s="6">
        <f>SUM(B35:B38)</f>
        <v>23604.593411764708</v>
      </c>
      <c r="C39" s="6">
        <f>SUM(C35:C38)</f>
        <v>150088.84270588239</v>
      </c>
      <c r="D39" s="6">
        <f>SUM(D35:D38)</f>
        <v>332.96294117647062</v>
      </c>
      <c r="E39" s="6">
        <f>SUM(E35:E38)</f>
        <v>39224.522508996553</v>
      </c>
    </row>
    <row r="41" spans="1:5" ht="16.2" x14ac:dyDescent="0.3">
      <c r="A41" s="1" t="s">
        <v>26</v>
      </c>
      <c r="B41">
        <f>B39 + C39 - (D39^2)</f>
        <v>62829.115920761265</v>
      </c>
    </row>
    <row r="42" spans="1:5" x14ac:dyDescent="0.3">
      <c r="A42" s="1" t="s">
        <v>39</v>
      </c>
      <c r="B42">
        <f>(1/B10-1/B11)*B41</f>
        <v>1663.1236567260335</v>
      </c>
    </row>
    <row r="44" spans="1:5" x14ac:dyDescent="0.3">
      <c r="A44" s="1" t="s">
        <v>28</v>
      </c>
    </row>
    <row r="46" spans="1:5" x14ac:dyDescent="0.3">
      <c r="A46" s="1" t="s">
        <v>29</v>
      </c>
      <c r="B46">
        <f>(1/B10-1/B11)*B39</f>
        <v>624.8274726643599</v>
      </c>
    </row>
    <row r="49" spans="1:2" x14ac:dyDescent="0.3">
      <c r="A49" s="1" t="s">
        <v>33</v>
      </c>
    </row>
    <row r="51" spans="1:2" ht="15.6" x14ac:dyDescent="0.35">
      <c r="A51" s="1" t="s">
        <v>41</v>
      </c>
      <c r="B51" s="1"/>
    </row>
    <row r="52" spans="1:2" x14ac:dyDescent="0.3">
      <c r="A52">
        <f>B16*D4</f>
        <v>10.432058823529411</v>
      </c>
    </row>
    <row r="53" spans="1:2" x14ac:dyDescent="0.3">
      <c r="A53">
        <f t="shared" ref="A53:A55" si="10">B17*D5</f>
        <v>68.128235294117658</v>
      </c>
    </row>
    <row r="54" spans="1:2" x14ac:dyDescent="0.3">
      <c r="A54">
        <f t="shared" si="10"/>
        <v>28.994117647058825</v>
      </c>
    </row>
    <row r="55" spans="1:2" x14ac:dyDescent="0.3">
      <c r="A55">
        <f t="shared" si="10"/>
        <v>26.69852941176471</v>
      </c>
    </row>
    <row r="56" spans="1:2" ht="16.8" x14ac:dyDescent="0.35">
      <c r="A56" s="1" t="s">
        <v>40</v>
      </c>
      <c r="B56">
        <f>(SUM(A52:A55)^2)</f>
        <v>18023.852214532879</v>
      </c>
    </row>
    <row r="57" spans="1:2" x14ac:dyDescent="0.3">
      <c r="A57" s="1"/>
    </row>
    <row r="58" spans="1:2" x14ac:dyDescent="0.3">
      <c r="A58" s="1" t="s">
        <v>34</v>
      </c>
      <c r="B58">
        <f>((1/B10)*B56) - ((1/B11)*B39)</f>
        <v>460.68802568695315</v>
      </c>
    </row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Chauhan</dc:creator>
  <cp:lastModifiedBy>Ankit Chauhan</cp:lastModifiedBy>
  <dcterms:created xsi:type="dcterms:W3CDTF">2025-04-08T04:15:38Z</dcterms:created>
  <dcterms:modified xsi:type="dcterms:W3CDTF">2025-04-08T14:40:34Z</dcterms:modified>
</cp:coreProperties>
</file>