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1"/>
  <workbookPr/>
  <xr:revisionPtr revIDLastSave="377" documentId="11_0B1D56BE9CDCCE836B02CE7A5FB0D4A9BBFD1C62" xr6:coauthVersionLast="47" xr6:coauthVersionMax="47" xr10:uidLastSave="{B815C34C-7AE9-4466-9372-A47A7A186A4F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1" l="1"/>
  <c r="F72" i="1"/>
  <c r="C74" i="1"/>
  <c r="C73" i="1"/>
  <c r="D77" i="1" s="1"/>
  <c r="C72" i="1"/>
  <c r="C27" i="1"/>
  <c r="C26" i="1"/>
  <c r="D30" i="1" s="1"/>
  <c r="C25" i="1"/>
  <c r="B54" i="1"/>
  <c r="B64" i="1" s="1"/>
  <c r="C54" i="1"/>
  <c r="C64" i="1" s="1"/>
  <c r="D54" i="1"/>
  <c r="D64" i="1" s="1"/>
  <c r="E54" i="1"/>
  <c r="E64" i="1" s="1"/>
  <c r="F54" i="1"/>
  <c r="F64" i="1" s="1"/>
  <c r="G54" i="1"/>
  <c r="G64" i="1" s="1"/>
  <c r="B55" i="1"/>
  <c r="B65" i="1" s="1"/>
  <c r="C55" i="1"/>
  <c r="C65" i="1" s="1"/>
  <c r="D55" i="1"/>
  <c r="D65" i="1" s="1"/>
  <c r="E55" i="1"/>
  <c r="E65" i="1" s="1"/>
  <c r="F55" i="1"/>
  <c r="F65" i="1" s="1"/>
  <c r="G55" i="1"/>
  <c r="G65" i="1" s="1"/>
  <c r="B56" i="1"/>
  <c r="B66" i="1" s="1"/>
  <c r="C56" i="1"/>
  <c r="C66" i="1" s="1"/>
  <c r="D56" i="1"/>
  <c r="D66" i="1" s="1"/>
  <c r="E56" i="1"/>
  <c r="E66" i="1" s="1"/>
  <c r="F56" i="1"/>
  <c r="F66" i="1" s="1"/>
  <c r="G56" i="1"/>
  <c r="G66" i="1" s="1"/>
  <c r="C53" i="1"/>
  <c r="C63" i="1" s="1"/>
  <c r="D53" i="1"/>
  <c r="D63" i="1" s="1"/>
  <c r="E53" i="1"/>
  <c r="E63" i="1" s="1"/>
  <c r="F53" i="1"/>
  <c r="F63" i="1" s="1"/>
  <c r="G53" i="1"/>
  <c r="G63" i="1" s="1"/>
  <c r="B53" i="1"/>
  <c r="B63" i="1" s="1"/>
  <c r="H63" i="1" s="1"/>
  <c r="H56" i="1"/>
  <c r="H55" i="1"/>
  <c r="H54" i="1"/>
  <c r="H53" i="1"/>
  <c r="B81" i="1" s="1"/>
  <c r="H48" i="1"/>
  <c r="I48" i="1" s="1"/>
  <c r="H47" i="1"/>
  <c r="I47" i="1" s="1"/>
  <c r="H46" i="1"/>
  <c r="I46" i="1" s="1"/>
  <c r="H45" i="1"/>
  <c r="H7" i="1"/>
  <c r="H8" i="1"/>
  <c r="H9" i="1"/>
  <c r="H6" i="1"/>
  <c r="B34" i="1" s="1"/>
  <c r="B17" i="1"/>
  <c r="C17" i="1"/>
  <c r="D17" i="1"/>
  <c r="E17" i="1"/>
  <c r="F17" i="1"/>
  <c r="G17" i="1"/>
  <c r="B18" i="1"/>
  <c r="C18" i="1"/>
  <c r="D18" i="1"/>
  <c r="E18" i="1"/>
  <c r="F18" i="1"/>
  <c r="G18" i="1"/>
  <c r="B19" i="1"/>
  <c r="C19" i="1"/>
  <c r="D19" i="1"/>
  <c r="E19" i="1"/>
  <c r="F19" i="1"/>
  <c r="G19" i="1"/>
  <c r="C16" i="1"/>
  <c r="D16" i="1"/>
  <c r="E16" i="1"/>
  <c r="F16" i="1"/>
  <c r="G16" i="1"/>
  <c r="B16" i="1"/>
  <c r="H16" i="1" s="1"/>
  <c r="I54" i="1" l="1"/>
  <c r="B82" i="1"/>
  <c r="I55" i="1"/>
  <c r="B83" i="1"/>
  <c r="I56" i="1"/>
  <c r="B84" i="1"/>
  <c r="C85" i="1"/>
  <c r="C81" i="1"/>
  <c r="C86" i="1"/>
  <c r="C82" i="1"/>
  <c r="C84" i="1"/>
  <c r="I9" i="1"/>
  <c r="B37" i="1"/>
  <c r="C37" i="1" s="1"/>
  <c r="I8" i="1"/>
  <c r="B36" i="1"/>
  <c r="I7" i="1"/>
  <c r="B35" i="1"/>
  <c r="H66" i="1"/>
  <c r="H65" i="1"/>
  <c r="H64" i="1"/>
  <c r="H67" i="1" s="1"/>
  <c r="H57" i="1"/>
  <c r="E59" i="1" s="1"/>
  <c r="I53" i="1"/>
  <c r="I57" i="1" s="1"/>
  <c r="B72" i="1" s="1"/>
  <c r="D72" i="1" s="1"/>
  <c r="H49" i="1"/>
  <c r="I45" i="1"/>
  <c r="I49" i="1" s="1"/>
  <c r="H19" i="1"/>
  <c r="H18" i="1"/>
  <c r="H17" i="1"/>
  <c r="H20" i="1" s="1"/>
  <c r="I6" i="1"/>
  <c r="I10" i="1" s="1"/>
  <c r="H10" i="1"/>
  <c r="E12" i="1" s="1"/>
  <c r="B25" i="1" l="1"/>
  <c r="D25" i="1" s="1"/>
  <c r="B27" i="1"/>
  <c r="B26" i="1" s="1"/>
  <c r="D26" i="1" s="1"/>
  <c r="B30" i="1" s="1"/>
  <c r="B74" i="1"/>
  <c r="B73" i="1" s="1"/>
  <c r="D73" i="1" s="1"/>
  <c r="C83" i="1"/>
  <c r="C39" i="1"/>
  <c r="C35" i="1"/>
  <c r="C34" i="1"/>
  <c r="C36" i="1"/>
  <c r="C38" i="1"/>
  <c r="B31" i="1"/>
  <c r="G37" i="1" l="1"/>
  <c r="G84" i="1"/>
  <c r="D84" i="1"/>
  <c r="G82" i="1"/>
  <c r="D82" i="1"/>
  <c r="G86" i="1"/>
  <c r="D86" i="1"/>
  <c r="G81" i="1"/>
  <c r="D81" i="1"/>
  <c r="G85" i="1"/>
  <c r="D85" i="1"/>
  <c r="G83" i="1"/>
  <c r="D83" i="1"/>
  <c r="B77" i="1"/>
  <c r="B78" i="1" s="1"/>
  <c r="E72" i="1"/>
  <c r="E25" i="1"/>
  <c r="G38" i="1"/>
  <c r="G36" i="1"/>
  <c r="G34" i="1"/>
  <c r="G35" i="1"/>
  <c r="G39" i="1"/>
  <c r="D37" i="1"/>
  <c r="D38" i="1"/>
  <c r="D36" i="1"/>
  <c r="D34" i="1"/>
  <c r="D35" i="1"/>
  <c r="D39" i="1"/>
</calcChain>
</file>

<file path=xl/sharedStrings.xml><?xml version="1.0" encoding="utf-8"?>
<sst xmlns="http://schemas.openxmlformats.org/spreadsheetml/2006/main" count="106" uniqueCount="42">
  <si>
    <t>Experiment 1</t>
  </si>
  <si>
    <t>(a)</t>
  </si>
  <si>
    <t>City</t>
  </si>
  <si>
    <t>Price in Rs.(yij)</t>
  </si>
  <si>
    <r>
      <rPr>
        <b/>
        <sz val="12"/>
        <color rgb="FF000000"/>
        <rFont val="Calibri"/>
      </rPr>
      <t>T</t>
    </r>
    <r>
      <rPr>
        <b/>
        <vertAlign val="subscript"/>
        <sz val="9.5"/>
        <color rgb="FF000000"/>
        <rFont val="Calibri"/>
      </rPr>
      <t>i.</t>
    </r>
  </si>
  <si>
    <r>
      <t>T</t>
    </r>
    <r>
      <rPr>
        <b/>
        <vertAlign val="subscript"/>
        <sz val="12"/>
        <color rgb="FF000000"/>
        <rFont val="Calibri"/>
        <charset val="1"/>
      </rPr>
      <t>i.</t>
    </r>
    <r>
      <rPr>
        <b/>
        <vertAlign val="superscript"/>
        <sz val="12"/>
        <color rgb="FF000000"/>
        <rFont val="Calibri"/>
        <charset val="1"/>
      </rPr>
      <t>2</t>
    </r>
    <r>
      <rPr>
        <b/>
        <sz val="12"/>
        <color rgb="FF000000"/>
        <rFont val="Calibri"/>
        <charset val="1"/>
      </rPr>
      <t> </t>
    </r>
  </si>
  <si>
    <t>C1</t>
  </si>
  <si>
    <t>C2</t>
  </si>
  <si>
    <t>C3</t>
  </si>
  <si>
    <t>C4</t>
  </si>
  <si>
    <t>Total</t>
  </si>
  <si>
    <t>N =</t>
  </si>
  <si>
    <t>CF =</t>
  </si>
  <si>
    <t>k =</t>
  </si>
  <si>
    <t>Price in Rs.(yij^2)</t>
  </si>
  <si>
    <t>RSS</t>
  </si>
  <si>
    <t>ANOVA</t>
  </si>
  <si>
    <t>Source of Variation</t>
  </si>
  <si>
    <t>SS</t>
  </si>
  <si>
    <t>df</t>
  </si>
  <si>
    <t>MSS</t>
  </si>
  <si>
    <t>Fcalculated</t>
  </si>
  <si>
    <t>Fcritical</t>
  </si>
  <si>
    <t>Treatment</t>
  </si>
  <si>
    <t>Error</t>
  </si>
  <si>
    <t>SE =</t>
  </si>
  <si>
    <t xml:space="preserve">t = </t>
  </si>
  <si>
    <t>LSD =</t>
  </si>
  <si>
    <t>Treatment(City)</t>
  </si>
  <si>
    <t>Mean Hourly</t>
  </si>
  <si>
    <t>Difference</t>
  </si>
  <si>
    <t>Comparison with LSD</t>
  </si>
  <si>
    <t>Result</t>
  </si>
  <si>
    <t>C1 - C2</t>
  </si>
  <si>
    <t>C2 - C3</t>
  </si>
  <si>
    <t>C3 - C4</t>
  </si>
  <si>
    <t>C4 - C1</t>
  </si>
  <si>
    <t>C1 - C3</t>
  </si>
  <si>
    <t>C2 - C4</t>
  </si>
  <si>
    <t>(b)</t>
  </si>
  <si>
    <t>Price in Rs.(uij = yij - 270)</t>
  </si>
  <si>
    <t>Price in 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</si>
</sst>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4"/>
      <color theme="1"/>
      <name val="Aptos Narrow"/>
      <family val="2"/>
      <scheme val="minor"/>
    </font>
    <font>
      <b/>
      <sz val="16"/>
      <color rgb="FF000000"/>
      <name val="Aptos Narrow"/>
      <scheme val="minor"/>
    </font>
    <font>
      <b/>
      <sz val="14"/>
      <color rgb="FF000000"/>
      <name val="Aptos Narrow"/>
      <scheme val="minor"/>
    </font>
    <font>
      <sz val="12"/>
      <color rgb="FF000000"/>
      <name val="Calibri"/>
    </font>
    <font>
      <b/>
      <sz val="12"/>
      <color rgb="FF000000"/>
      <name val="Calibri"/>
    </font>
    <font>
      <b/>
      <vertAlign val="subscript"/>
      <sz val="9.5"/>
      <color rgb="FF000000"/>
      <name val="Calibri"/>
    </font>
    <font>
      <b/>
      <sz val="14"/>
      <color rgb="FF000000"/>
      <name val="Calibri"/>
      <charset val="1"/>
    </font>
    <font>
      <b/>
      <sz val="12"/>
      <color rgb="FF000000"/>
      <name val="Calibri"/>
      <charset val="1"/>
    </font>
    <font>
      <b/>
      <vertAlign val="subscript"/>
      <sz val="12"/>
      <color rgb="FF000000"/>
      <name val="Calibri"/>
      <charset val="1"/>
    </font>
    <font>
      <b/>
      <vertAlign val="superscript"/>
      <sz val="12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0" fillId="0" borderId="0" xfId="0" applyFont="1" applyBorder="1"/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3" xfId="0" applyBorder="1"/>
    <xf numFmtId="0" fontId="1" fillId="0" borderId="2" xfId="0" applyFont="1" applyBorder="1"/>
    <xf numFmtId="0" fontId="0" fillId="0" borderId="5" xfId="0" applyBorder="1"/>
    <xf numFmtId="0" fontId="4" fillId="0" borderId="0" xfId="0" applyFont="1"/>
    <xf numFmtId="0" fontId="5" fillId="0" borderId="0" xfId="0" applyFont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6" fillId="0" borderId="0" xfId="0" applyFont="1"/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9" fillId="0" borderId="0" xfId="0" applyFont="1" applyAlignment="1">
      <alignment horizontal="center"/>
    </xf>
    <xf numFmtId="0" fontId="7" fillId="0" borderId="4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2" borderId="1" xfId="0" applyFill="1" applyBorder="1"/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"/>
  <sheetViews>
    <sheetView tabSelected="1" topLeftCell="A48" workbookViewId="0">
      <selection activeCell="J81" sqref="J81"/>
    </sheetView>
  </sheetViews>
  <sheetFormatPr defaultRowHeight="15"/>
  <cols>
    <col min="1" max="1" width="17.42578125" customWidth="1"/>
    <col min="2" max="2" width="12.28515625" bestFit="1" customWidth="1"/>
    <col min="3" max="3" width="10.28515625" bestFit="1" customWidth="1"/>
    <col min="5" max="5" width="11" bestFit="1" customWidth="1"/>
    <col min="6" max="7" width="12.28515625" bestFit="1" customWidth="1"/>
    <col min="9" max="9" width="9.5703125" bestFit="1" customWidth="1"/>
  </cols>
  <sheetData>
    <row r="1" spans="1:11" ht="21">
      <c r="A1" s="28" t="s">
        <v>0</v>
      </c>
    </row>
    <row r="3" spans="1:11">
      <c r="A3" s="4" t="s">
        <v>1</v>
      </c>
    </row>
    <row r="4" spans="1:11">
      <c r="A4" s="4"/>
    </row>
    <row r="5" spans="1:11" ht="18.75">
      <c r="A5" s="15" t="s">
        <v>2</v>
      </c>
      <c r="B5" s="38" t="s">
        <v>3</v>
      </c>
      <c r="C5" s="39"/>
      <c r="D5" s="39"/>
      <c r="E5" s="39"/>
      <c r="F5" s="39"/>
      <c r="G5" s="45"/>
      <c r="H5" s="48" t="s">
        <v>4</v>
      </c>
      <c r="I5" s="49" t="s">
        <v>5</v>
      </c>
      <c r="J5" s="44"/>
      <c r="K5" s="47"/>
    </row>
    <row r="6" spans="1:11">
      <c r="A6" s="15" t="s">
        <v>6</v>
      </c>
      <c r="B6" s="8">
        <v>264</v>
      </c>
      <c r="C6" s="8">
        <v>272</v>
      </c>
      <c r="D6" s="8">
        <v>268</v>
      </c>
      <c r="E6" s="8">
        <v>277</v>
      </c>
      <c r="F6" s="8">
        <v>256</v>
      </c>
      <c r="G6" s="8">
        <v>295</v>
      </c>
      <c r="H6" s="46">
        <f>SUM(B6:G6)</f>
        <v>1632</v>
      </c>
      <c r="I6" s="46">
        <f>H6^2</f>
        <v>2663424</v>
      </c>
    </row>
    <row r="7" spans="1:11">
      <c r="A7" s="15" t="s">
        <v>7</v>
      </c>
      <c r="B7" s="8">
        <v>278</v>
      </c>
      <c r="C7" s="8">
        <v>291</v>
      </c>
      <c r="D7" s="8">
        <v>297</v>
      </c>
      <c r="E7" s="8">
        <v>282</v>
      </c>
      <c r="F7" s="8">
        <v>285</v>
      </c>
      <c r="G7" s="8">
        <v>277</v>
      </c>
      <c r="H7" s="8">
        <f t="shared" ref="H7:H9" si="0">SUM(B7:G7)</f>
        <v>1710</v>
      </c>
      <c r="I7" s="8">
        <f t="shared" ref="I7:I9" si="1">H7^2</f>
        <v>2924100</v>
      </c>
    </row>
    <row r="8" spans="1:11">
      <c r="A8" s="14" t="s">
        <v>8</v>
      </c>
      <c r="B8" s="40">
        <v>275</v>
      </c>
      <c r="C8" s="40">
        <v>293</v>
      </c>
      <c r="D8" s="40">
        <v>278</v>
      </c>
      <c r="E8" s="40">
        <v>271</v>
      </c>
      <c r="F8" s="40">
        <v>263</v>
      </c>
      <c r="G8" s="40">
        <v>276</v>
      </c>
      <c r="H8" s="8">
        <f t="shared" si="0"/>
        <v>1656</v>
      </c>
      <c r="I8" s="8">
        <f t="shared" si="1"/>
        <v>2742336</v>
      </c>
    </row>
    <row r="9" spans="1:11">
      <c r="A9" s="15" t="s">
        <v>9</v>
      </c>
      <c r="B9" s="8">
        <v>255</v>
      </c>
      <c r="C9" s="8">
        <v>266</v>
      </c>
      <c r="D9" s="8">
        <v>249</v>
      </c>
      <c r="E9" s="8">
        <v>264</v>
      </c>
      <c r="F9" s="8">
        <v>270</v>
      </c>
      <c r="G9" s="40">
        <v>268</v>
      </c>
      <c r="H9" s="41">
        <f t="shared" si="0"/>
        <v>1572</v>
      </c>
      <c r="I9" s="8">
        <f t="shared" si="1"/>
        <v>2471184</v>
      </c>
    </row>
    <row r="10" spans="1:11">
      <c r="A10" s="11"/>
      <c r="B10" s="7"/>
      <c r="C10" s="7"/>
      <c r="D10" s="7"/>
      <c r="E10" s="7"/>
      <c r="F10" s="7"/>
      <c r="G10" s="15" t="s">
        <v>10</v>
      </c>
      <c r="H10" s="42">
        <f>SUM(H6:H9)</f>
        <v>6570</v>
      </c>
      <c r="I10" s="15">
        <f>SUM(I6:I9)</f>
        <v>10801044</v>
      </c>
    </row>
    <row r="11" spans="1:11">
      <c r="A11" s="11"/>
      <c r="B11" s="1"/>
      <c r="C11" s="1"/>
      <c r="D11" s="1"/>
      <c r="E11" s="1"/>
      <c r="F11" s="1"/>
      <c r="G11" s="12"/>
      <c r="H11" s="11"/>
      <c r="I11" s="13"/>
    </row>
    <row r="12" spans="1:11">
      <c r="A12" s="3" t="s">
        <v>11</v>
      </c>
      <c r="B12" s="3">
        <v>24</v>
      </c>
      <c r="C12" s="2"/>
      <c r="D12" s="5" t="s">
        <v>12</v>
      </c>
      <c r="E12" s="3">
        <f>H10^2/B12</f>
        <v>1798537.5</v>
      </c>
      <c r="G12" s="3"/>
      <c r="H12" s="4"/>
    </row>
    <row r="13" spans="1:11">
      <c r="A13" s="3" t="s">
        <v>13</v>
      </c>
      <c r="B13" s="3">
        <v>4</v>
      </c>
      <c r="C13" s="2"/>
      <c r="D13" s="5"/>
      <c r="E13" s="3"/>
      <c r="G13" s="3"/>
      <c r="H13" s="4"/>
    </row>
    <row r="14" spans="1:11">
      <c r="A14" s="4"/>
      <c r="G14" s="3"/>
      <c r="H14" s="4"/>
    </row>
    <row r="15" spans="1:11">
      <c r="A15" s="15" t="s">
        <v>2</v>
      </c>
      <c r="B15" s="38" t="s">
        <v>14</v>
      </c>
      <c r="C15" s="39"/>
      <c r="D15" s="39"/>
      <c r="E15" s="39"/>
      <c r="F15" s="39"/>
      <c r="G15" s="39"/>
      <c r="H15" s="9"/>
    </row>
    <row r="16" spans="1:11">
      <c r="A16" s="15" t="s">
        <v>6</v>
      </c>
      <c r="B16" s="8">
        <f>B6^2</f>
        <v>69696</v>
      </c>
      <c r="C16" s="8">
        <f t="shared" ref="C16:G16" si="2">C6^2</f>
        <v>73984</v>
      </c>
      <c r="D16" s="8">
        <f t="shared" si="2"/>
        <v>71824</v>
      </c>
      <c r="E16" s="8">
        <f t="shared" si="2"/>
        <v>76729</v>
      </c>
      <c r="F16" s="8">
        <f t="shared" si="2"/>
        <v>65536</v>
      </c>
      <c r="G16" s="8">
        <f t="shared" si="2"/>
        <v>87025</v>
      </c>
      <c r="H16" s="8">
        <f>SUM(B16:G16)</f>
        <v>444794</v>
      </c>
    </row>
    <row r="17" spans="1:8">
      <c r="A17" s="15" t="s">
        <v>7</v>
      </c>
      <c r="B17" s="8">
        <f t="shared" ref="B17:G17" si="3">B7^2</f>
        <v>77284</v>
      </c>
      <c r="C17" s="8">
        <f t="shared" si="3"/>
        <v>84681</v>
      </c>
      <c r="D17" s="8">
        <f t="shared" si="3"/>
        <v>88209</v>
      </c>
      <c r="E17" s="8">
        <f t="shared" si="3"/>
        <v>79524</v>
      </c>
      <c r="F17" s="8">
        <f t="shared" si="3"/>
        <v>81225</v>
      </c>
      <c r="G17" s="8">
        <f t="shared" si="3"/>
        <v>76729</v>
      </c>
      <c r="H17" s="8">
        <f t="shared" ref="H17:H19" si="4">SUM(B17:G17)</f>
        <v>487652</v>
      </c>
    </row>
    <row r="18" spans="1:8">
      <c r="A18" s="14" t="s">
        <v>8</v>
      </c>
      <c r="B18" s="40">
        <f t="shared" ref="B18:G18" si="5">B8^2</f>
        <v>75625</v>
      </c>
      <c r="C18" s="40">
        <f t="shared" si="5"/>
        <v>85849</v>
      </c>
      <c r="D18" s="40">
        <f t="shared" si="5"/>
        <v>77284</v>
      </c>
      <c r="E18" s="40">
        <f t="shared" si="5"/>
        <v>73441</v>
      </c>
      <c r="F18" s="40">
        <f t="shared" si="5"/>
        <v>69169</v>
      </c>
      <c r="G18" s="8">
        <f t="shared" si="5"/>
        <v>76176</v>
      </c>
      <c r="H18" s="8">
        <f t="shared" si="4"/>
        <v>457544</v>
      </c>
    </row>
    <row r="19" spans="1:8">
      <c r="A19" s="15" t="s">
        <v>9</v>
      </c>
      <c r="B19" s="8">
        <f t="shared" ref="B19:G19" si="6">B9^2</f>
        <v>65025</v>
      </c>
      <c r="C19" s="8">
        <f t="shared" si="6"/>
        <v>70756</v>
      </c>
      <c r="D19" s="8">
        <f t="shared" si="6"/>
        <v>62001</v>
      </c>
      <c r="E19" s="8">
        <f t="shared" si="6"/>
        <v>69696</v>
      </c>
      <c r="F19" s="8">
        <f t="shared" si="6"/>
        <v>72900</v>
      </c>
      <c r="G19" s="43">
        <f t="shared" si="6"/>
        <v>71824</v>
      </c>
      <c r="H19" s="8">
        <f t="shared" si="4"/>
        <v>412202</v>
      </c>
    </row>
    <row r="20" spans="1:8">
      <c r="A20" s="1"/>
      <c r="B20" s="7"/>
      <c r="C20" s="7"/>
      <c r="D20" s="7"/>
      <c r="E20" s="7"/>
      <c r="F20" s="7"/>
      <c r="G20" s="15" t="s">
        <v>15</v>
      </c>
      <c r="H20" s="42">
        <f>SUM(H16:H19)</f>
        <v>1802192</v>
      </c>
    </row>
    <row r="23" spans="1:8" ht="18.75">
      <c r="A23" s="6" t="s">
        <v>16</v>
      </c>
    </row>
    <row r="24" spans="1:8">
      <c r="A24" s="23" t="s">
        <v>17</v>
      </c>
      <c r="B24" s="23" t="s">
        <v>18</v>
      </c>
      <c r="C24" s="23" t="s">
        <v>19</v>
      </c>
      <c r="D24" s="23" t="s">
        <v>20</v>
      </c>
      <c r="E24" s="24" t="s">
        <v>21</v>
      </c>
      <c r="F24" s="23" t="s">
        <v>22</v>
      </c>
      <c r="G24" s="7"/>
    </row>
    <row r="25" spans="1:8">
      <c r="A25" s="23" t="s">
        <v>23</v>
      </c>
      <c r="B25" s="16">
        <f>I10/6-E12</f>
        <v>1636.5</v>
      </c>
      <c r="C25" s="16">
        <f>B13-1</f>
        <v>3</v>
      </c>
      <c r="D25" s="16">
        <f>B25/C25</f>
        <v>545.5</v>
      </c>
      <c r="E25" s="20">
        <f>D25/D26</f>
        <v>5.4063429137760153</v>
      </c>
      <c r="F25" s="16">
        <f>_xlfn.F.INV(0.95,C25,C26)</f>
        <v>3.0983912121407773</v>
      </c>
      <c r="G25" s="7"/>
    </row>
    <row r="26" spans="1:8">
      <c r="A26" s="23" t="s">
        <v>24</v>
      </c>
      <c r="B26" s="16">
        <f>B27-B25</f>
        <v>2018</v>
      </c>
      <c r="C26" s="16">
        <f>B12-B13</f>
        <v>20</v>
      </c>
      <c r="D26" s="16">
        <f>B26/C26</f>
        <v>100.9</v>
      </c>
      <c r="E26" s="20"/>
      <c r="F26" s="16"/>
      <c r="G26" s="7"/>
    </row>
    <row r="27" spans="1:8">
      <c r="A27" s="23" t="s">
        <v>10</v>
      </c>
      <c r="B27" s="16">
        <f>H20-E12</f>
        <v>3654.5</v>
      </c>
      <c r="C27" s="16">
        <f>B12-1</f>
        <v>23</v>
      </c>
      <c r="D27" s="16"/>
      <c r="E27" s="20"/>
      <c r="F27" s="16"/>
      <c r="G27" s="7"/>
    </row>
    <row r="30" spans="1:8">
      <c r="A30" s="5" t="s">
        <v>25</v>
      </c>
      <c r="B30" s="3">
        <f>SQRT(D26*(1/6 + 1/6))</f>
        <v>5.7994252588798254</v>
      </c>
      <c r="C30" s="3" t="s">
        <v>26</v>
      </c>
      <c r="D30" s="3">
        <f>_xlfn.T.INV(0.975,C26)</f>
        <v>2.0859634472658648</v>
      </c>
    </row>
    <row r="31" spans="1:8">
      <c r="A31" s="3" t="s">
        <v>27</v>
      </c>
      <c r="B31" s="3">
        <f>B30*D30</f>
        <v>12.097389105173692</v>
      </c>
      <c r="C31" s="2"/>
      <c r="D31" s="2"/>
    </row>
    <row r="33" spans="1:9">
      <c r="A33" s="21" t="s">
        <v>28</v>
      </c>
      <c r="B33" s="22" t="s">
        <v>29</v>
      </c>
      <c r="C33" s="22" t="s">
        <v>30</v>
      </c>
      <c r="D33" s="34" t="s">
        <v>31</v>
      </c>
      <c r="E33" s="34"/>
      <c r="F33" s="35"/>
      <c r="G33" s="34" t="s">
        <v>32</v>
      </c>
      <c r="H33" s="36"/>
    </row>
    <row r="34" spans="1:9">
      <c r="A34" s="17" t="s">
        <v>6</v>
      </c>
      <c r="B34" s="16">
        <f>H6/6</f>
        <v>272</v>
      </c>
      <c r="C34" s="16">
        <f>ABS(B34-B35)</f>
        <v>13</v>
      </c>
      <c r="D34" s="31" t="str">
        <f>IF(C34&gt;$B$31,"&gt;12.097","&lt;12.097")</f>
        <v>&gt;12.097</v>
      </c>
      <c r="E34" s="31"/>
      <c r="F34" s="32"/>
      <c r="G34" s="33" t="str">
        <f>IF(C34&gt;$B$31,"SIGNIFICANT","NOT SIGNIFICANT")</f>
        <v>SIGNIFICANT</v>
      </c>
      <c r="H34" s="51"/>
      <c r="I34" s="50" t="s">
        <v>33</v>
      </c>
    </row>
    <row r="35" spans="1:9">
      <c r="A35" s="17" t="s">
        <v>7</v>
      </c>
      <c r="B35" s="16">
        <f t="shared" ref="B35:B37" si="7">H7/6</f>
        <v>285</v>
      </c>
      <c r="C35" s="16">
        <f>ABS(B35-B36)</f>
        <v>9</v>
      </c>
      <c r="D35" s="31" t="str">
        <f t="shared" ref="D35:D39" si="8">IF(C35&gt;$B$31,"&gt;12.097","&lt;12.097")</f>
        <v>&lt;12.097</v>
      </c>
      <c r="E35" s="31"/>
      <c r="F35" s="32"/>
      <c r="G35" s="33" t="str">
        <f t="shared" ref="G35:G39" si="9">IF(C35&gt;$B$31,"SIGNIFICANT","NOT SIGNIFICANT")</f>
        <v>NOT SIGNIFICANT</v>
      </c>
      <c r="H35" s="51"/>
      <c r="I35" s="50" t="s">
        <v>34</v>
      </c>
    </row>
    <row r="36" spans="1:9">
      <c r="A36" s="18" t="s">
        <v>8</v>
      </c>
      <c r="B36" s="19">
        <f t="shared" si="7"/>
        <v>276</v>
      </c>
      <c r="C36" s="19">
        <f>ABS(B36-B37)</f>
        <v>14</v>
      </c>
      <c r="D36" s="31" t="str">
        <f t="shared" si="8"/>
        <v>&gt;12.097</v>
      </c>
      <c r="E36" s="31"/>
      <c r="F36" s="32"/>
      <c r="G36" s="33" t="str">
        <f t="shared" si="9"/>
        <v>SIGNIFICANT</v>
      </c>
      <c r="H36" s="51"/>
      <c r="I36" s="50" t="s">
        <v>35</v>
      </c>
    </row>
    <row r="37" spans="1:9">
      <c r="A37" s="17" t="s">
        <v>9</v>
      </c>
      <c r="B37" s="20">
        <f t="shared" si="7"/>
        <v>262</v>
      </c>
      <c r="C37" s="16">
        <f>ABS(B37-B34)</f>
        <v>10</v>
      </c>
      <c r="D37" s="30" t="str">
        <f t="shared" si="8"/>
        <v>&lt;12.097</v>
      </c>
      <c r="E37" s="31"/>
      <c r="F37" s="32"/>
      <c r="G37" s="33" t="str">
        <f t="shared" si="9"/>
        <v>NOT SIGNIFICANT</v>
      </c>
      <c r="H37" s="51"/>
      <c r="I37" s="50" t="s">
        <v>36</v>
      </c>
    </row>
    <row r="38" spans="1:9">
      <c r="A38" s="1"/>
      <c r="B38" s="7"/>
      <c r="C38" s="16">
        <f>ABS(B34-B36)</f>
        <v>4</v>
      </c>
      <c r="D38" s="30" t="str">
        <f t="shared" si="8"/>
        <v>&lt;12.097</v>
      </c>
      <c r="E38" s="31"/>
      <c r="F38" s="32"/>
      <c r="G38" s="33" t="str">
        <f t="shared" si="9"/>
        <v>NOT SIGNIFICANT</v>
      </c>
      <c r="H38" s="51"/>
      <c r="I38" s="50" t="s">
        <v>37</v>
      </c>
    </row>
    <row r="39" spans="1:9">
      <c r="A39" s="1"/>
      <c r="B39" s="7"/>
      <c r="C39" s="16">
        <f>ABS(B35-B37)</f>
        <v>23</v>
      </c>
      <c r="D39" s="30" t="str">
        <f t="shared" si="8"/>
        <v>&gt;12.097</v>
      </c>
      <c r="E39" s="31"/>
      <c r="F39" s="32"/>
      <c r="G39" s="33" t="str">
        <f t="shared" si="9"/>
        <v>SIGNIFICANT</v>
      </c>
      <c r="H39" s="51"/>
      <c r="I39" s="50" t="s">
        <v>38</v>
      </c>
    </row>
    <row r="42" spans="1:9" ht="18.75">
      <c r="A42" s="29" t="s">
        <v>39</v>
      </c>
    </row>
    <row r="43" spans="1:9">
      <c r="A43" s="4"/>
    </row>
    <row r="44" spans="1:9" ht="15.75">
      <c r="A44" s="15" t="s">
        <v>2</v>
      </c>
      <c r="B44" s="38" t="s">
        <v>3</v>
      </c>
      <c r="C44" s="39"/>
      <c r="D44" s="39"/>
      <c r="E44" s="39"/>
      <c r="F44" s="39"/>
      <c r="G44" s="39"/>
      <c r="H44" s="48" t="s">
        <v>4</v>
      </c>
      <c r="I44" s="49" t="s">
        <v>5</v>
      </c>
    </row>
    <row r="45" spans="1:9">
      <c r="A45" s="15" t="s">
        <v>6</v>
      </c>
      <c r="B45" s="9">
        <v>264</v>
      </c>
      <c r="C45" s="9">
        <v>272</v>
      </c>
      <c r="D45" s="9">
        <v>268</v>
      </c>
      <c r="E45" s="9">
        <v>277</v>
      </c>
      <c r="F45" s="9">
        <v>256</v>
      </c>
      <c r="G45" s="9">
        <v>295</v>
      </c>
      <c r="H45" s="9">
        <f>SUM(B45:G45)</f>
        <v>1632</v>
      </c>
      <c r="I45" s="9">
        <f>H45^2</f>
        <v>2663424</v>
      </c>
    </row>
    <row r="46" spans="1:9">
      <c r="A46" s="15" t="s">
        <v>7</v>
      </c>
      <c r="B46" s="9">
        <v>278</v>
      </c>
      <c r="C46" s="9">
        <v>291</v>
      </c>
      <c r="D46" s="9">
        <v>297</v>
      </c>
      <c r="E46" s="9">
        <v>282</v>
      </c>
      <c r="F46" s="9">
        <v>285</v>
      </c>
      <c r="G46" s="9">
        <v>277</v>
      </c>
      <c r="H46" s="9">
        <f t="shared" ref="H46:H48" si="10">SUM(B46:G46)</f>
        <v>1710</v>
      </c>
      <c r="I46" s="9">
        <f t="shared" ref="I46:I48" si="11">H46^2</f>
        <v>2924100</v>
      </c>
    </row>
    <row r="47" spans="1:9">
      <c r="A47" s="14" t="s">
        <v>8</v>
      </c>
      <c r="B47" s="25">
        <v>275</v>
      </c>
      <c r="C47" s="25">
        <v>293</v>
      </c>
      <c r="D47" s="25">
        <v>278</v>
      </c>
      <c r="E47" s="25">
        <v>271</v>
      </c>
      <c r="F47" s="25">
        <v>263</v>
      </c>
      <c r="G47" s="9">
        <v>276</v>
      </c>
      <c r="H47" s="9">
        <f t="shared" si="10"/>
        <v>1656</v>
      </c>
      <c r="I47" s="9">
        <f t="shared" si="11"/>
        <v>2742336</v>
      </c>
    </row>
    <row r="48" spans="1:9">
      <c r="A48" s="15" t="s">
        <v>9</v>
      </c>
      <c r="B48" s="9">
        <v>255</v>
      </c>
      <c r="C48" s="9">
        <v>266</v>
      </c>
      <c r="D48" s="9">
        <v>249</v>
      </c>
      <c r="E48" s="9">
        <v>264</v>
      </c>
      <c r="F48" s="9">
        <v>270</v>
      </c>
      <c r="G48" s="27">
        <v>268</v>
      </c>
      <c r="H48" s="9">
        <f t="shared" si="10"/>
        <v>1572</v>
      </c>
      <c r="I48" s="9">
        <f t="shared" si="11"/>
        <v>2471184</v>
      </c>
    </row>
    <row r="49" spans="1:9">
      <c r="A49" s="11"/>
      <c r="B49" s="1"/>
      <c r="C49" s="1"/>
      <c r="D49" s="1"/>
      <c r="E49" s="1"/>
      <c r="F49" s="1"/>
      <c r="G49" s="15" t="s">
        <v>10</v>
      </c>
      <c r="H49" s="26">
        <f>SUM(H45:H48)</f>
        <v>6570</v>
      </c>
      <c r="I49" s="10">
        <f>SUM(I45:I48)</f>
        <v>10801044</v>
      </c>
    </row>
    <row r="52" spans="1:9" ht="15.75">
      <c r="A52" s="15" t="s">
        <v>2</v>
      </c>
      <c r="B52" s="37" t="s">
        <v>40</v>
      </c>
      <c r="C52" s="37"/>
      <c r="D52" s="37"/>
      <c r="E52" s="37"/>
      <c r="F52" s="37"/>
      <c r="G52" s="37"/>
      <c r="H52" s="48" t="s">
        <v>4</v>
      </c>
      <c r="I52" s="49" t="s">
        <v>5</v>
      </c>
    </row>
    <row r="53" spans="1:9">
      <c r="A53" s="15" t="s">
        <v>6</v>
      </c>
      <c r="B53" s="9">
        <f>B45-270</f>
        <v>-6</v>
      </c>
      <c r="C53" s="9">
        <f t="shared" ref="C53:G53" si="12">C45-270</f>
        <v>2</v>
      </c>
      <c r="D53" s="9">
        <f t="shared" si="12"/>
        <v>-2</v>
      </c>
      <c r="E53" s="9">
        <f t="shared" si="12"/>
        <v>7</v>
      </c>
      <c r="F53" s="9">
        <f t="shared" si="12"/>
        <v>-14</v>
      </c>
      <c r="G53" s="9">
        <f t="shared" si="12"/>
        <v>25</v>
      </c>
      <c r="H53" s="9">
        <f>SUM(B53:G53)</f>
        <v>12</v>
      </c>
      <c r="I53" s="9">
        <f>H53^2</f>
        <v>144</v>
      </c>
    </row>
    <row r="54" spans="1:9">
      <c r="A54" s="15" t="s">
        <v>7</v>
      </c>
      <c r="B54" s="9">
        <f t="shared" ref="B54:G54" si="13">B46-270</f>
        <v>8</v>
      </c>
      <c r="C54" s="9">
        <f t="shared" si="13"/>
        <v>21</v>
      </c>
      <c r="D54" s="9">
        <f t="shared" si="13"/>
        <v>27</v>
      </c>
      <c r="E54" s="9">
        <f t="shared" si="13"/>
        <v>12</v>
      </c>
      <c r="F54" s="9">
        <f t="shared" si="13"/>
        <v>15</v>
      </c>
      <c r="G54" s="9">
        <f t="shared" si="13"/>
        <v>7</v>
      </c>
      <c r="H54" s="9">
        <f t="shared" ref="H54:H56" si="14">SUM(B54:G54)</f>
        <v>90</v>
      </c>
      <c r="I54" s="9">
        <f t="shared" ref="I54:I56" si="15">H54^2</f>
        <v>8100</v>
      </c>
    </row>
    <row r="55" spans="1:9">
      <c r="A55" s="14" t="s">
        <v>8</v>
      </c>
      <c r="B55" s="25">
        <f t="shared" ref="B55:G55" si="16">B47-270</f>
        <v>5</v>
      </c>
      <c r="C55" s="25">
        <f t="shared" si="16"/>
        <v>23</v>
      </c>
      <c r="D55" s="25">
        <f t="shared" si="16"/>
        <v>8</v>
      </c>
      <c r="E55" s="25">
        <f t="shared" si="16"/>
        <v>1</v>
      </c>
      <c r="F55" s="25">
        <f t="shared" si="16"/>
        <v>-7</v>
      </c>
      <c r="G55" s="9">
        <f t="shared" si="16"/>
        <v>6</v>
      </c>
      <c r="H55" s="9">
        <f t="shared" si="14"/>
        <v>36</v>
      </c>
      <c r="I55" s="9">
        <f t="shared" si="15"/>
        <v>1296</v>
      </c>
    </row>
    <row r="56" spans="1:9">
      <c r="A56" s="15" t="s">
        <v>9</v>
      </c>
      <c r="B56" s="9">
        <f t="shared" ref="B56:G56" si="17">B48-270</f>
        <v>-15</v>
      </c>
      <c r="C56" s="9">
        <f t="shared" si="17"/>
        <v>-4</v>
      </c>
      <c r="D56" s="9">
        <f t="shared" si="17"/>
        <v>-21</v>
      </c>
      <c r="E56" s="9">
        <f t="shared" si="17"/>
        <v>-6</v>
      </c>
      <c r="F56" s="9">
        <f t="shared" si="17"/>
        <v>0</v>
      </c>
      <c r="G56" s="27">
        <f t="shared" si="17"/>
        <v>-2</v>
      </c>
      <c r="H56" s="9">
        <f t="shared" si="14"/>
        <v>-48</v>
      </c>
      <c r="I56" s="9">
        <f t="shared" si="15"/>
        <v>2304</v>
      </c>
    </row>
    <row r="57" spans="1:9">
      <c r="A57" s="11"/>
      <c r="B57" s="1"/>
      <c r="C57" s="1"/>
      <c r="D57" s="1"/>
      <c r="E57" s="1"/>
      <c r="F57" s="1"/>
      <c r="G57" s="15" t="s">
        <v>10</v>
      </c>
      <c r="H57" s="26">
        <f>SUM(H53:H56)</f>
        <v>90</v>
      </c>
      <c r="I57" s="10">
        <f>SUM(I53:I56)</f>
        <v>11844</v>
      </c>
    </row>
    <row r="58" spans="1:9">
      <c r="A58" s="11"/>
      <c r="B58" s="1"/>
      <c r="C58" s="1"/>
      <c r="D58" s="1"/>
      <c r="E58" s="1"/>
      <c r="F58" s="1"/>
      <c r="G58" s="12"/>
      <c r="H58" s="11"/>
      <c r="I58" s="13"/>
    </row>
    <row r="59" spans="1:9">
      <c r="A59" s="3" t="s">
        <v>11</v>
      </c>
      <c r="B59" s="3">
        <v>24</v>
      </c>
      <c r="C59" s="2"/>
      <c r="D59" s="5" t="s">
        <v>12</v>
      </c>
      <c r="E59" s="3">
        <f>H57^2/B59</f>
        <v>337.5</v>
      </c>
      <c r="F59" s="1"/>
      <c r="G59" s="12"/>
      <c r="H59" s="11"/>
      <c r="I59" s="13"/>
    </row>
    <row r="60" spans="1:9">
      <c r="A60" s="3" t="s">
        <v>13</v>
      </c>
      <c r="B60" s="3">
        <v>4</v>
      </c>
      <c r="C60" s="2"/>
      <c r="D60" s="5"/>
      <c r="E60" s="3"/>
      <c r="F60" s="1"/>
      <c r="G60" s="12"/>
      <c r="H60" s="11"/>
      <c r="I60" s="13"/>
    </row>
    <row r="62" spans="1:9">
      <c r="A62" s="15" t="s">
        <v>2</v>
      </c>
      <c r="B62" s="37" t="s">
        <v>41</v>
      </c>
      <c r="C62" s="37"/>
      <c r="D62" s="37"/>
      <c r="E62" s="37"/>
      <c r="F62" s="37"/>
      <c r="G62" s="37"/>
      <c r="H62" s="9"/>
    </row>
    <row r="63" spans="1:9">
      <c r="A63" s="15" t="s">
        <v>6</v>
      </c>
      <c r="B63" s="9">
        <f>B53^2</f>
        <v>36</v>
      </c>
      <c r="C63" s="9">
        <f t="shared" ref="C63:F63" si="18">C53^2</f>
        <v>4</v>
      </c>
      <c r="D63" s="9">
        <f t="shared" si="18"/>
        <v>4</v>
      </c>
      <c r="E63" s="9">
        <f t="shared" si="18"/>
        <v>49</v>
      </c>
      <c r="F63" s="9">
        <f t="shared" si="18"/>
        <v>196</v>
      </c>
      <c r="G63" s="9">
        <f>G53^2</f>
        <v>625</v>
      </c>
      <c r="H63" s="9">
        <f>SUM(B63:G63)</f>
        <v>914</v>
      </c>
    </row>
    <row r="64" spans="1:9">
      <c r="A64" s="15" t="s">
        <v>7</v>
      </c>
      <c r="B64" s="9">
        <f t="shared" ref="B64:G64" si="19">B54^2</f>
        <v>64</v>
      </c>
      <c r="C64" s="9">
        <f t="shared" si="19"/>
        <v>441</v>
      </c>
      <c r="D64" s="9">
        <f t="shared" si="19"/>
        <v>729</v>
      </c>
      <c r="E64" s="9">
        <f t="shared" si="19"/>
        <v>144</v>
      </c>
      <c r="F64" s="9">
        <f t="shared" si="19"/>
        <v>225</v>
      </c>
      <c r="G64" s="9">
        <f t="shared" si="19"/>
        <v>49</v>
      </c>
      <c r="H64" s="9">
        <f t="shared" ref="H64:H66" si="20">SUM(B64:G64)</f>
        <v>1652</v>
      </c>
    </row>
    <row r="65" spans="1:8">
      <c r="A65" s="14" t="s">
        <v>8</v>
      </c>
      <c r="B65" s="25">
        <f t="shared" ref="B65:G65" si="21">B55^2</f>
        <v>25</v>
      </c>
      <c r="C65" s="25">
        <f t="shared" si="21"/>
        <v>529</v>
      </c>
      <c r="D65" s="25">
        <f t="shared" si="21"/>
        <v>64</v>
      </c>
      <c r="E65" s="25">
        <f t="shared" si="21"/>
        <v>1</v>
      </c>
      <c r="F65" s="25">
        <f t="shared" si="21"/>
        <v>49</v>
      </c>
      <c r="G65" s="9">
        <f t="shared" si="21"/>
        <v>36</v>
      </c>
      <c r="H65" s="9">
        <f t="shared" si="20"/>
        <v>704</v>
      </c>
    </row>
    <row r="66" spans="1:8">
      <c r="A66" s="15" t="s">
        <v>9</v>
      </c>
      <c r="B66" s="9">
        <f t="shared" ref="B66:G66" si="22">B56^2</f>
        <v>225</v>
      </c>
      <c r="C66" s="9">
        <f t="shared" si="22"/>
        <v>16</v>
      </c>
      <c r="D66" s="9">
        <f t="shared" si="22"/>
        <v>441</v>
      </c>
      <c r="E66" s="9">
        <f t="shared" si="22"/>
        <v>36</v>
      </c>
      <c r="F66" s="9">
        <f t="shared" si="22"/>
        <v>0</v>
      </c>
      <c r="G66" s="27">
        <f t="shared" si="22"/>
        <v>4</v>
      </c>
      <c r="H66" s="9">
        <f t="shared" si="20"/>
        <v>722</v>
      </c>
    </row>
    <row r="67" spans="1:8">
      <c r="A67" s="11"/>
      <c r="B67" s="1"/>
      <c r="C67" s="1"/>
      <c r="D67" s="1"/>
      <c r="E67" s="1"/>
      <c r="F67" s="1"/>
      <c r="G67" s="15" t="s">
        <v>15</v>
      </c>
      <c r="H67" s="26">
        <f>SUM(H63:H66)</f>
        <v>3992</v>
      </c>
    </row>
    <row r="70" spans="1:8" ht="18.75">
      <c r="A70" s="6" t="s">
        <v>16</v>
      </c>
    </row>
    <row r="71" spans="1:8">
      <c r="A71" s="23" t="s">
        <v>17</v>
      </c>
      <c r="B71" s="23" t="s">
        <v>18</v>
      </c>
      <c r="C71" s="23" t="s">
        <v>19</v>
      </c>
      <c r="D71" s="23" t="s">
        <v>20</v>
      </c>
      <c r="E71" s="24" t="s">
        <v>21</v>
      </c>
      <c r="F71" s="23" t="s">
        <v>22</v>
      </c>
    </row>
    <row r="72" spans="1:8">
      <c r="A72" s="23" t="s">
        <v>23</v>
      </c>
      <c r="B72" s="16">
        <f>I57/6-E59</f>
        <v>1636.5</v>
      </c>
      <c r="C72" s="16">
        <f>B60-1</f>
        <v>3</v>
      </c>
      <c r="D72" s="16">
        <f>B72/C72</f>
        <v>545.5</v>
      </c>
      <c r="E72" s="20">
        <f>D72/D73</f>
        <v>5.4063429137760153</v>
      </c>
      <c r="F72" s="16">
        <f>_xlfn.F.INV(0.95,C72,C73)</f>
        <v>3.0983912121407773</v>
      </c>
    </row>
    <row r="73" spans="1:8">
      <c r="A73" s="23" t="s">
        <v>24</v>
      </c>
      <c r="B73" s="16">
        <f>B74-B72</f>
        <v>2018</v>
      </c>
      <c r="C73" s="16">
        <f>B59-B60</f>
        <v>20</v>
      </c>
      <c r="D73" s="16">
        <f>B73/C73</f>
        <v>100.9</v>
      </c>
      <c r="E73" s="20"/>
      <c r="F73" s="16"/>
    </row>
    <row r="74" spans="1:8">
      <c r="A74" s="23" t="s">
        <v>10</v>
      </c>
      <c r="B74" s="16">
        <f>H67-E59</f>
        <v>3654.5</v>
      </c>
      <c r="C74" s="16">
        <f>B59-1</f>
        <v>23</v>
      </c>
      <c r="D74" s="16"/>
      <c r="E74" s="20"/>
      <c r="F74" s="16"/>
    </row>
    <row r="77" spans="1:8">
      <c r="A77" s="5" t="s">
        <v>25</v>
      </c>
      <c r="B77" s="3">
        <f>SQRT(D73*(1/6 + 1/6))</f>
        <v>5.7994252588798254</v>
      </c>
      <c r="C77" s="3" t="s">
        <v>26</v>
      </c>
      <c r="D77" s="3">
        <f>_xlfn.T.INV(0.975,C73)</f>
        <v>2.0859634472658648</v>
      </c>
    </row>
    <row r="78" spans="1:8">
      <c r="A78" s="3" t="s">
        <v>27</v>
      </c>
      <c r="B78" s="3">
        <f>B77*D77</f>
        <v>12.097389105173692</v>
      </c>
      <c r="C78" s="2"/>
      <c r="D78" s="2"/>
    </row>
    <row r="80" spans="1:8">
      <c r="A80" s="21" t="s">
        <v>28</v>
      </c>
      <c r="B80" s="22" t="s">
        <v>29</v>
      </c>
      <c r="C80" s="22" t="s">
        <v>30</v>
      </c>
      <c r="D80" s="34" t="s">
        <v>31</v>
      </c>
      <c r="E80" s="34"/>
      <c r="F80" s="35"/>
      <c r="G80" s="34" t="s">
        <v>32</v>
      </c>
      <c r="H80" s="36"/>
    </row>
    <row r="81" spans="1:9">
      <c r="A81" s="17" t="s">
        <v>6</v>
      </c>
      <c r="B81" s="16">
        <f>H53/6</f>
        <v>2</v>
      </c>
      <c r="C81" s="16">
        <f>ABS(B81-B82)</f>
        <v>13</v>
      </c>
      <c r="D81" s="31" t="str">
        <f>IF(C81&gt;$B$31,"&gt;12.097","&lt;12.097")</f>
        <v>&gt;12.097</v>
      </c>
      <c r="E81" s="31"/>
      <c r="F81" s="32"/>
      <c r="G81" s="33" t="str">
        <f>IF(C81&gt;$B$31,"SIGNIFICANT","NOT SIGNIFICANT")</f>
        <v>SIGNIFICANT</v>
      </c>
      <c r="H81" s="51"/>
      <c r="I81" s="50" t="s">
        <v>33</v>
      </c>
    </row>
    <row r="82" spans="1:9">
      <c r="A82" s="17" t="s">
        <v>7</v>
      </c>
      <c r="B82" s="16">
        <f t="shared" ref="B82:B84" si="23">H54/6</f>
        <v>15</v>
      </c>
      <c r="C82" s="16">
        <f>ABS(B82-B83)</f>
        <v>9</v>
      </c>
      <c r="D82" s="31" t="str">
        <f t="shared" ref="D82:D86" si="24">IF(C82&gt;$B$31,"&gt;12.097","&lt;12.097")</f>
        <v>&lt;12.097</v>
      </c>
      <c r="E82" s="31"/>
      <c r="F82" s="32"/>
      <c r="G82" s="33" t="str">
        <f t="shared" ref="G82:G86" si="25">IF(C82&gt;$B$31,"SIGNIFICANT","NOT SIGNIFICANT")</f>
        <v>NOT SIGNIFICANT</v>
      </c>
      <c r="H82" s="51"/>
      <c r="I82" s="50" t="s">
        <v>34</v>
      </c>
    </row>
    <row r="83" spans="1:9">
      <c r="A83" s="18" t="s">
        <v>8</v>
      </c>
      <c r="B83" s="19">
        <f t="shared" si="23"/>
        <v>6</v>
      </c>
      <c r="C83" s="19">
        <f>ABS(B83-B84)</f>
        <v>14</v>
      </c>
      <c r="D83" s="31" t="str">
        <f t="shared" si="24"/>
        <v>&gt;12.097</v>
      </c>
      <c r="E83" s="31"/>
      <c r="F83" s="32"/>
      <c r="G83" s="33" t="str">
        <f t="shared" si="25"/>
        <v>SIGNIFICANT</v>
      </c>
      <c r="H83" s="51"/>
      <c r="I83" s="50" t="s">
        <v>35</v>
      </c>
    </row>
    <row r="84" spans="1:9">
      <c r="A84" s="17" t="s">
        <v>9</v>
      </c>
      <c r="B84" s="20">
        <f t="shared" si="23"/>
        <v>-8</v>
      </c>
      <c r="C84" s="16">
        <f>ABS(B84-B81)</f>
        <v>10</v>
      </c>
      <c r="D84" s="30" t="str">
        <f t="shared" si="24"/>
        <v>&lt;12.097</v>
      </c>
      <c r="E84" s="31"/>
      <c r="F84" s="32"/>
      <c r="G84" s="33" t="str">
        <f t="shared" si="25"/>
        <v>NOT SIGNIFICANT</v>
      </c>
      <c r="H84" s="51"/>
      <c r="I84" s="50" t="s">
        <v>36</v>
      </c>
    </row>
    <row r="85" spans="1:9">
      <c r="A85" s="1"/>
      <c r="B85" s="7"/>
      <c r="C85" s="16">
        <f>ABS(B81-B83)</f>
        <v>4</v>
      </c>
      <c r="D85" s="30" t="str">
        <f t="shared" si="24"/>
        <v>&lt;12.097</v>
      </c>
      <c r="E85" s="31"/>
      <c r="F85" s="32"/>
      <c r="G85" s="33" t="str">
        <f t="shared" si="25"/>
        <v>NOT SIGNIFICANT</v>
      </c>
      <c r="H85" s="51"/>
      <c r="I85" s="50" t="s">
        <v>37</v>
      </c>
    </row>
    <row r="86" spans="1:9">
      <c r="A86" s="1"/>
      <c r="B86" s="7"/>
      <c r="C86" s="16">
        <f>ABS(B82-B84)</f>
        <v>23</v>
      </c>
      <c r="D86" s="30" t="str">
        <f t="shared" si="24"/>
        <v>&gt;12.097</v>
      </c>
      <c r="E86" s="31"/>
      <c r="F86" s="32"/>
      <c r="G86" s="33" t="str">
        <f t="shared" si="25"/>
        <v>SIGNIFICANT</v>
      </c>
      <c r="H86" s="51"/>
      <c r="I86" s="50" t="s">
        <v>38</v>
      </c>
    </row>
  </sheetData>
  <mergeCells count="33">
    <mergeCell ref="B5:G5"/>
    <mergeCell ref="B15:G15"/>
    <mergeCell ref="D33:F33"/>
    <mergeCell ref="D34:F34"/>
    <mergeCell ref="D35:F35"/>
    <mergeCell ref="B62:G62"/>
    <mergeCell ref="G33:H33"/>
    <mergeCell ref="G34:H34"/>
    <mergeCell ref="G35:H35"/>
    <mergeCell ref="G36:H36"/>
    <mergeCell ref="G37:H37"/>
    <mergeCell ref="G38:H38"/>
    <mergeCell ref="G39:H39"/>
    <mergeCell ref="D36:F36"/>
    <mergeCell ref="D37:F37"/>
    <mergeCell ref="D38:F38"/>
    <mergeCell ref="D39:F39"/>
    <mergeCell ref="B44:G44"/>
    <mergeCell ref="B52:G52"/>
    <mergeCell ref="D80:F80"/>
    <mergeCell ref="G80:H80"/>
    <mergeCell ref="D81:F81"/>
    <mergeCell ref="G81:H81"/>
    <mergeCell ref="D82:F82"/>
    <mergeCell ref="G82:H82"/>
    <mergeCell ref="D86:F86"/>
    <mergeCell ref="G86:H86"/>
    <mergeCell ref="D83:F83"/>
    <mergeCell ref="G83:H83"/>
    <mergeCell ref="D84:F84"/>
    <mergeCell ref="G84:H84"/>
    <mergeCell ref="D85:F85"/>
    <mergeCell ref="G85:H8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Ankit Chauhan</cp:lastModifiedBy>
  <cp:revision/>
  <dcterms:created xsi:type="dcterms:W3CDTF">2025-01-27T03:56:37Z</dcterms:created>
  <dcterms:modified xsi:type="dcterms:W3CDTF">2025-01-27T07:48:33Z</dcterms:modified>
  <cp:category/>
  <cp:contentStatus/>
</cp:coreProperties>
</file>