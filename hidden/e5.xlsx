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18\"/>
    </mc:Choice>
  </mc:AlternateContent>
  <xr:revisionPtr revIDLastSave="0" documentId="13_ncr:1_{19189176-B288-41AE-8C3D-239A1AF03192}" xr6:coauthVersionLast="47" xr6:coauthVersionMax="47" xr10:uidLastSave="{00000000-0000-0000-0000-000000000000}"/>
  <bookViews>
    <workbookView xWindow="-120" yWindow="-120" windowWidth="29040" windowHeight="15720" xr2:uid="{A5B6CD2E-18C8-4FC2-9BF7-FD2157E2F9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5" i="1" l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44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45" i="1"/>
  <c r="C46" i="1"/>
  <c r="C47" i="1"/>
  <c r="C48" i="1"/>
  <c r="C49" i="1"/>
  <c r="C50" i="1"/>
  <c r="C51" i="1"/>
  <c r="C52" i="1"/>
  <c r="C36" i="1" l="1"/>
  <c r="L4" i="1"/>
  <c r="M4" i="1" s="1"/>
  <c r="J10" i="1"/>
  <c r="B26" i="1"/>
  <c r="B18" i="1"/>
  <c r="C18" i="1"/>
  <c r="D18" i="1"/>
  <c r="E18" i="1"/>
  <c r="F18" i="1"/>
  <c r="G18" i="1"/>
  <c r="H18" i="1"/>
  <c r="I18" i="1"/>
  <c r="J18" i="1"/>
  <c r="K18" i="1"/>
  <c r="B19" i="1"/>
  <c r="C19" i="1"/>
  <c r="D19" i="1"/>
  <c r="E19" i="1"/>
  <c r="F19" i="1"/>
  <c r="G19" i="1"/>
  <c r="H19" i="1"/>
  <c r="I19" i="1"/>
  <c r="J19" i="1"/>
  <c r="K19" i="1"/>
  <c r="B20" i="1"/>
  <c r="C20" i="1"/>
  <c r="D20" i="1"/>
  <c r="E20" i="1"/>
  <c r="F20" i="1"/>
  <c r="G20" i="1"/>
  <c r="H20" i="1"/>
  <c r="I20" i="1"/>
  <c r="J20" i="1"/>
  <c r="K20" i="1"/>
  <c r="B21" i="1"/>
  <c r="C21" i="1"/>
  <c r="D21" i="1"/>
  <c r="E21" i="1"/>
  <c r="F21" i="1"/>
  <c r="G21" i="1"/>
  <c r="H21" i="1"/>
  <c r="I21" i="1"/>
  <c r="J21" i="1"/>
  <c r="K21" i="1"/>
  <c r="C17" i="1"/>
  <c r="D17" i="1"/>
  <c r="E17" i="1"/>
  <c r="F17" i="1"/>
  <c r="F22" i="1" s="1"/>
  <c r="G17" i="1"/>
  <c r="H17" i="1"/>
  <c r="I17" i="1"/>
  <c r="J17" i="1"/>
  <c r="K17" i="1"/>
  <c r="B17" i="1"/>
  <c r="B14" i="1"/>
  <c r="C34" i="1" s="1"/>
  <c r="B13" i="1"/>
  <c r="C33" i="1" s="1"/>
  <c r="B12" i="1"/>
  <c r="L9" i="1"/>
  <c r="C9" i="1"/>
  <c r="C10" i="1" s="1"/>
  <c r="D9" i="1"/>
  <c r="D10" i="1" s="1"/>
  <c r="E9" i="1"/>
  <c r="E10" i="1" s="1"/>
  <c r="F9" i="1"/>
  <c r="F10" i="1" s="1"/>
  <c r="G9" i="1"/>
  <c r="G10" i="1" s="1"/>
  <c r="H9" i="1"/>
  <c r="H10" i="1" s="1"/>
  <c r="I9" i="1"/>
  <c r="I10" i="1" s="1"/>
  <c r="J9" i="1"/>
  <c r="K9" i="1"/>
  <c r="K10" i="1" s="1"/>
  <c r="B9" i="1"/>
  <c r="B44" i="1" s="1"/>
  <c r="L5" i="1"/>
  <c r="M5" i="1" s="1"/>
  <c r="L6" i="1"/>
  <c r="M6" i="1" s="1"/>
  <c r="L7" i="1"/>
  <c r="M7" i="1" s="1"/>
  <c r="L8" i="1"/>
  <c r="M8" i="1" s="1"/>
  <c r="C59" i="1" l="1"/>
  <c r="C57" i="1"/>
  <c r="C44" i="1"/>
  <c r="C55" i="1"/>
  <c r="C54" i="1"/>
  <c r="C53" i="1"/>
  <c r="C60" i="1"/>
  <c r="C58" i="1"/>
  <c r="C56" i="1"/>
  <c r="H22" i="1"/>
  <c r="B29" i="1"/>
  <c r="B33" i="1" s="1"/>
  <c r="D33" i="1" s="1"/>
  <c r="M9" i="1"/>
  <c r="B40" i="1"/>
  <c r="C35" i="1"/>
  <c r="F33" i="1" s="1"/>
  <c r="B10" i="1"/>
  <c r="B30" i="1" s="1"/>
  <c r="B34" i="1" s="1"/>
  <c r="D34" i="1" s="1"/>
  <c r="B22" i="1"/>
  <c r="C22" i="1"/>
  <c r="L18" i="1"/>
  <c r="D22" i="1"/>
  <c r="L21" i="1"/>
  <c r="L20" i="1"/>
  <c r="L22" i="1"/>
  <c r="B25" i="1" s="1"/>
  <c r="B28" i="1" s="1"/>
  <c r="B36" i="1" s="1"/>
  <c r="L17" i="1"/>
  <c r="J22" i="1"/>
  <c r="I22" i="1"/>
  <c r="E22" i="1"/>
  <c r="G22" i="1"/>
  <c r="L19" i="1"/>
  <c r="K22" i="1"/>
  <c r="B35" i="1" l="1"/>
  <c r="F34" i="1"/>
  <c r="D35" i="1"/>
  <c r="B39" i="1" s="1"/>
  <c r="B41" i="1" s="1"/>
  <c r="E34" i="1" l="1"/>
  <c r="E33" i="1"/>
</calcChain>
</file>

<file path=xl/sharedStrings.xml><?xml version="1.0" encoding="utf-8"?>
<sst xmlns="http://schemas.openxmlformats.org/spreadsheetml/2006/main" count="93" uniqueCount="86">
  <si>
    <t xml:space="preserve">Practical 5 </t>
  </si>
  <si>
    <t>Rater</t>
  </si>
  <si>
    <t>A</t>
  </si>
  <si>
    <t>B</t>
  </si>
  <si>
    <t>C</t>
  </si>
  <si>
    <t>D</t>
  </si>
  <si>
    <t>E</t>
  </si>
  <si>
    <t>Service Station</t>
  </si>
  <si>
    <t>N =</t>
  </si>
  <si>
    <t xml:space="preserve">k = </t>
  </si>
  <si>
    <t xml:space="preserve">h = </t>
  </si>
  <si>
    <t>TOTAL</t>
  </si>
  <si>
    <t xml:space="preserve">RSS = </t>
  </si>
  <si>
    <t xml:space="preserve">CF = </t>
  </si>
  <si>
    <t xml:space="preserve">TSS = </t>
  </si>
  <si>
    <t>SSA =</t>
  </si>
  <si>
    <t>SSB =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</si>
  <si>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i.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</si>
  <si>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i.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</si>
  <si>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.j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</si>
  <si>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.j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</si>
  <si>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Source of Error</t>
  </si>
  <si>
    <t>Treatments</t>
  </si>
  <si>
    <t>Varieties</t>
  </si>
  <si>
    <t>Error</t>
  </si>
  <si>
    <t>Total</t>
  </si>
  <si>
    <t>SS</t>
  </si>
  <si>
    <t>df</t>
  </si>
  <si>
    <t>MSS</t>
  </si>
  <si>
    <r>
      <t>F</t>
    </r>
    <r>
      <rPr>
        <b/>
        <vertAlign val="subscript"/>
        <sz val="11"/>
        <color theme="1"/>
        <rFont val="Calibri"/>
        <family val="2"/>
        <scheme val="minor"/>
      </rPr>
      <t>calc</t>
    </r>
  </si>
  <si>
    <r>
      <t>F</t>
    </r>
    <r>
      <rPr>
        <b/>
        <vertAlign val="subscript"/>
        <sz val="11"/>
        <color theme="1"/>
        <rFont val="Calibri"/>
        <family val="2"/>
        <scheme val="minor"/>
      </rPr>
      <t>tab</t>
    </r>
  </si>
  <si>
    <t xml:space="preserve">SE = </t>
  </si>
  <si>
    <t xml:space="preserve">t = </t>
  </si>
  <si>
    <t>LSD =</t>
  </si>
  <si>
    <t>Significance</t>
  </si>
  <si>
    <t>Not Significant</t>
  </si>
  <si>
    <t>Significant</t>
  </si>
  <si>
    <t>Mean</t>
  </si>
  <si>
    <t>Difference</t>
  </si>
  <si>
    <t>Combination</t>
  </si>
  <si>
    <t>V1-V2</t>
  </si>
  <si>
    <t>V2-V3</t>
  </si>
  <si>
    <t>V3-V4</t>
  </si>
  <si>
    <t>V4-V5</t>
  </si>
  <si>
    <t>V5-V6</t>
  </si>
  <si>
    <t>V6-V7</t>
  </si>
  <si>
    <t>V7-V8</t>
  </si>
  <si>
    <t>V8-V9</t>
  </si>
  <si>
    <t>V9-V10</t>
  </si>
  <si>
    <t>V1-V10</t>
  </si>
  <si>
    <t>V1-V3</t>
  </si>
  <si>
    <t>V1-V4</t>
  </si>
  <si>
    <t>V1-V5</t>
  </si>
  <si>
    <t>V1-V6</t>
  </si>
  <si>
    <t>V1-V7</t>
  </si>
  <si>
    <t>V1-V8</t>
  </si>
  <si>
    <t>V1-V9</t>
  </si>
  <si>
    <t>V2-V4</t>
  </si>
  <si>
    <t>V2-V5</t>
  </si>
  <si>
    <t>V2-V6</t>
  </si>
  <si>
    <t>V2-V7</t>
  </si>
  <si>
    <t>V2-V8</t>
  </si>
  <si>
    <t>V2-V9</t>
  </si>
  <si>
    <t>V2-V10</t>
  </si>
  <si>
    <t>V3-V5</t>
  </si>
  <si>
    <t>V3-V6</t>
  </si>
  <si>
    <t>V3-V7</t>
  </si>
  <si>
    <t>V3-V8</t>
  </si>
  <si>
    <t>V3-V9</t>
  </si>
  <si>
    <t>V3-V10</t>
  </si>
  <si>
    <t>V4-V6</t>
  </si>
  <si>
    <t>V4-V7</t>
  </si>
  <si>
    <t>V4-V8</t>
  </si>
  <si>
    <t>V4-V9</t>
  </si>
  <si>
    <t>V4-V10</t>
  </si>
  <si>
    <t>V5-V7</t>
  </si>
  <si>
    <t>V5-V8</t>
  </si>
  <si>
    <t>V5-V9</t>
  </si>
  <si>
    <t>V5-V10</t>
  </si>
  <si>
    <t>V6-V8</t>
  </si>
  <si>
    <t>V6-V9</t>
  </si>
  <si>
    <t>V6-V10</t>
  </si>
  <si>
    <t>V7-V9</t>
  </si>
  <si>
    <t>V7-V10</t>
  </si>
  <si>
    <t>V8-V10</t>
  </si>
  <si>
    <t>Comparison with LSD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</si>
</sst>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2" xfId="0" applyFont="1" applyFill="1" applyBorder="1" applyAlignment="1">
      <alignment horizont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4C09B-2C5C-4DED-AA6D-1AB5CBE3FB7D}">
  <dimension ref="A1:M88"/>
  <sheetViews>
    <sheetView tabSelected="1" zoomScale="130" zoomScaleNormal="130" workbookViewId="0">
      <selection activeCell="C35" sqref="C35"/>
    </sheetView>
  </sheetViews>
  <sheetFormatPr defaultRowHeight="15" x14ac:dyDescent="0.25"/>
  <cols>
    <col min="1" max="1" width="14.140625" bestFit="1" customWidth="1"/>
    <col min="2" max="2" width="12" bestFit="1" customWidth="1"/>
    <col min="4" max="4" width="11.7109375" customWidth="1"/>
    <col min="5" max="5" width="19.85546875" bestFit="1" customWidth="1"/>
    <col min="6" max="6" width="14.28515625" bestFit="1" customWidth="1"/>
    <col min="13" max="13" width="12" bestFit="1" customWidth="1"/>
  </cols>
  <sheetData>
    <row r="1" spans="1:13" ht="18.75" x14ac:dyDescent="0.3">
      <c r="A1" s="1" t="s">
        <v>0</v>
      </c>
    </row>
    <row r="2" spans="1:13" x14ac:dyDescent="0.25">
      <c r="F2" s="2" t="s">
        <v>7</v>
      </c>
    </row>
    <row r="3" spans="1:13" ht="18.75" x14ac:dyDescent="0.35">
      <c r="A3" s="2" t="s">
        <v>1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 t="s">
        <v>18</v>
      </c>
      <c r="M3" s="2" t="s">
        <v>17</v>
      </c>
    </row>
    <row r="4" spans="1:13" x14ac:dyDescent="0.25">
      <c r="A4" s="2" t="s">
        <v>2</v>
      </c>
      <c r="B4">
        <v>99</v>
      </c>
      <c r="C4">
        <v>70</v>
      </c>
      <c r="D4">
        <v>90</v>
      </c>
      <c r="E4">
        <v>99</v>
      </c>
      <c r="F4">
        <v>65</v>
      </c>
      <c r="G4">
        <v>85</v>
      </c>
      <c r="H4">
        <v>75</v>
      </c>
      <c r="I4">
        <v>70</v>
      </c>
      <c r="J4">
        <v>85</v>
      </c>
      <c r="K4">
        <v>92</v>
      </c>
      <c r="L4">
        <f>SUM(B4:K4)</f>
        <v>830</v>
      </c>
      <c r="M4">
        <f>L4^2</f>
        <v>688900</v>
      </c>
    </row>
    <row r="5" spans="1:13" x14ac:dyDescent="0.25">
      <c r="A5" s="2" t="s">
        <v>3</v>
      </c>
      <c r="B5">
        <v>96</v>
      </c>
      <c r="C5">
        <v>65</v>
      </c>
      <c r="D5">
        <v>80</v>
      </c>
      <c r="E5">
        <v>95</v>
      </c>
      <c r="F5">
        <v>70</v>
      </c>
      <c r="G5">
        <v>88</v>
      </c>
      <c r="H5">
        <v>70</v>
      </c>
      <c r="I5">
        <v>51</v>
      </c>
      <c r="J5">
        <v>84</v>
      </c>
      <c r="K5">
        <v>91</v>
      </c>
      <c r="L5">
        <f t="shared" ref="L5:L8" si="0">SUM(B5:K5)</f>
        <v>790</v>
      </c>
      <c r="M5">
        <f t="shared" ref="M5:M8" si="1">L5^2</f>
        <v>624100</v>
      </c>
    </row>
    <row r="6" spans="1:13" x14ac:dyDescent="0.25">
      <c r="A6" s="2" t="s">
        <v>4</v>
      </c>
      <c r="B6">
        <v>95</v>
      </c>
      <c r="C6">
        <v>60</v>
      </c>
      <c r="D6">
        <v>48</v>
      </c>
      <c r="E6">
        <v>87</v>
      </c>
      <c r="F6">
        <v>48</v>
      </c>
      <c r="G6">
        <v>75</v>
      </c>
      <c r="H6">
        <v>71</v>
      </c>
      <c r="I6">
        <v>93</v>
      </c>
      <c r="J6">
        <v>80</v>
      </c>
      <c r="K6">
        <v>93</v>
      </c>
      <c r="L6">
        <f t="shared" si="0"/>
        <v>750</v>
      </c>
      <c r="M6">
        <f t="shared" si="1"/>
        <v>562500</v>
      </c>
    </row>
    <row r="7" spans="1:13" x14ac:dyDescent="0.25">
      <c r="A7" s="2" t="s">
        <v>5</v>
      </c>
      <c r="B7">
        <v>98</v>
      </c>
      <c r="C7">
        <v>65</v>
      </c>
      <c r="D7">
        <v>70</v>
      </c>
      <c r="E7">
        <v>95</v>
      </c>
      <c r="F7">
        <v>67</v>
      </c>
      <c r="G7">
        <v>82</v>
      </c>
      <c r="H7">
        <v>73</v>
      </c>
      <c r="I7">
        <v>94</v>
      </c>
      <c r="J7">
        <v>86</v>
      </c>
      <c r="K7">
        <v>80</v>
      </c>
      <c r="L7">
        <f t="shared" si="0"/>
        <v>810</v>
      </c>
      <c r="M7">
        <f t="shared" si="1"/>
        <v>656100</v>
      </c>
    </row>
    <row r="8" spans="1:13" x14ac:dyDescent="0.25">
      <c r="A8" s="2" t="s">
        <v>6</v>
      </c>
      <c r="B8">
        <v>97</v>
      </c>
      <c r="C8">
        <v>65</v>
      </c>
      <c r="D8">
        <v>62</v>
      </c>
      <c r="E8">
        <v>99</v>
      </c>
      <c r="F8">
        <v>60</v>
      </c>
      <c r="G8">
        <v>80</v>
      </c>
      <c r="H8">
        <v>76</v>
      </c>
      <c r="I8">
        <v>92</v>
      </c>
      <c r="J8">
        <v>90</v>
      </c>
      <c r="K8">
        <v>89</v>
      </c>
      <c r="L8">
        <f t="shared" si="0"/>
        <v>810</v>
      </c>
      <c r="M8">
        <f t="shared" si="1"/>
        <v>656100</v>
      </c>
    </row>
    <row r="9" spans="1:13" ht="18" x14ac:dyDescent="0.35">
      <c r="A9" s="2" t="s">
        <v>19</v>
      </c>
      <c r="B9">
        <f>SUM(B4:B8)</f>
        <v>485</v>
      </c>
      <c r="C9">
        <f t="shared" ref="C9:K9" si="2">SUM(C4:C8)</f>
        <v>325</v>
      </c>
      <c r="D9">
        <f t="shared" si="2"/>
        <v>350</v>
      </c>
      <c r="E9">
        <f t="shared" si="2"/>
        <v>475</v>
      </c>
      <c r="F9">
        <f t="shared" si="2"/>
        <v>310</v>
      </c>
      <c r="G9">
        <f t="shared" si="2"/>
        <v>410</v>
      </c>
      <c r="H9">
        <f t="shared" si="2"/>
        <v>365</v>
      </c>
      <c r="I9">
        <f t="shared" si="2"/>
        <v>400</v>
      </c>
      <c r="J9">
        <f t="shared" si="2"/>
        <v>425</v>
      </c>
      <c r="K9">
        <f t="shared" si="2"/>
        <v>445</v>
      </c>
      <c r="L9" s="2">
        <f>SUM(B4:K8)</f>
        <v>3990</v>
      </c>
      <c r="M9">
        <f>SUM(M4:M8)</f>
        <v>3187700</v>
      </c>
    </row>
    <row r="10" spans="1:13" ht="18.75" x14ac:dyDescent="0.35">
      <c r="A10" s="2" t="s">
        <v>20</v>
      </c>
      <c r="B10">
        <f>B9^2</f>
        <v>235225</v>
      </c>
      <c r="C10">
        <f t="shared" ref="C10:K10" si="3">C9^2</f>
        <v>105625</v>
      </c>
      <c r="D10">
        <f t="shared" si="3"/>
        <v>122500</v>
      </c>
      <c r="E10">
        <f t="shared" si="3"/>
        <v>225625</v>
      </c>
      <c r="F10">
        <f t="shared" si="3"/>
        <v>96100</v>
      </c>
      <c r="G10">
        <f t="shared" si="3"/>
        <v>168100</v>
      </c>
      <c r="H10">
        <f t="shared" si="3"/>
        <v>133225</v>
      </c>
      <c r="I10">
        <f t="shared" si="3"/>
        <v>160000</v>
      </c>
      <c r="J10">
        <f t="shared" si="3"/>
        <v>180625</v>
      </c>
      <c r="K10">
        <f t="shared" si="3"/>
        <v>198025</v>
      </c>
      <c r="L10" s="2"/>
    </row>
    <row r="12" spans="1:13" x14ac:dyDescent="0.25">
      <c r="A12" s="2" t="s">
        <v>8</v>
      </c>
      <c r="B12">
        <f>50</f>
        <v>50</v>
      </c>
    </row>
    <row r="13" spans="1:13" x14ac:dyDescent="0.25">
      <c r="A13" s="2" t="s">
        <v>9</v>
      </c>
      <c r="B13">
        <f>5</f>
        <v>5</v>
      </c>
    </row>
    <row r="14" spans="1:13" x14ac:dyDescent="0.25">
      <c r="A14" s="2" t="s">
        <v>10</v>
      </c>
      <c r="B14">
        <f>10</f>
        <v>10</v>
      </c>
    </row>
    <row r="16" spans="1:13" x14ac:dyDescent="0.25">
      <c r="A16" s="2" t="s">
        <v>1</v>
      </c>
      <c r="B16" s="2">
        <v>1</v>
      </c>
      <c r="C16" s="2">
        <v>2</v>
      </c>
      <c r="D16" s="2">
        <v>3</v>
      </c>
      <c r="E16" s="2">
        <v>4</v>
      </c>
      <c r="F16" s="2">
        <v>5</v>
      </c>
      <c r="G16" s="2">
        <v>6</v>
      </c>
      <c r="H16" s="2">
        <v>7</v>
      </c>
      <c r="I16" s="2">
        <v>8</v>
      </c>
      <c r="J16" s="2">
        <v>9</v>
      </c>
      <c r="K16" s="2">
        <v>10</v>
      </c>
      <c r="L16" s="2" t="s">
        <v>11</v>
      </c>
    </row>
    <row r="17" spans="1:12" x14ac:dyDescent="0.25">
      <c r="A17" s="2" t="s">
        <v>2</v>
      </c>
      <c r="B17">
        <f>B4^2</f>
        <v>9801</v>
      </c>
      <c r="C17">
        <f t="shared" ref="C17:K17" si="4">C4^2</f>
        <v>4900</v>
      </c>
      <c r="D17">
        <f t="shared" si="4"/>
        <v>8100</v>
      </c>
      <c r="E17">
        <f t="shared" si="4"/>
        <v>9801</v>
      </c>
      <c r="F17">
        <f t="shared" si="4"/>
        <v>4225</v>
      </c>
      <c r="G17">
        <f t="shared" si="4"/>
        <v>7225</v>
      </c>
      <c r="H17">
        <f t="shared" si="4"/>
        <v>5625</v>
      </c>
      <c r="I17">
        <f t="shared" si="4"/>
        <v>4900</v>
      </c>
      <c r="J17">
        <f t="shared" si="4"/>
        <v>7225</v>
      </c>
      <c r="K17">
        <f t="shared" si="4"/>
        <v>8464</v>
      </c>
      <c r="L17">
        <f>SUM(B17:K17)</f>
        <v>70266</v>
      </c>
    </row>
    <row r="18" spans="1:12" x14ac:dyDescent="0.25">
      <c r="A18" s="2" t="s">
        <v>3</v>
      </c>
      <c r="B18">
        <f t="shared" ref="B18:K18" si="5">B5^2</f>
        <v>9216</v>
      </c>
      <c r="C18">
        <f t="shared" si="5"/>
        <v>4225</v>
      </c>
      <c r="D18">
        <f t="shared" si="5"/>
        <v>6400</v>
      </c>
      <c r="E18">
        <f t="shared" si="5"/>
        <v>9025</v>
      </c>
      <c r="F18">
        <f t="shared" si="5"/>
        <v>4900</v>
      </c>
      <c r="G18">
        <f t="shared" si="5"/>
        <v>7744</v>
      </c>
      <c r="H18">
        <f t="shared" si="5"/>
        <v>4900</v>
      </c>
      <c r="I18">
        <f t="shared" si="5"/>
        <v>2601</v>
      </c>
      <c r="J18">
        <f t="shared" si="5"/>
        <v>7056</v>
      </c>
      <c r="K18">
        <f t="shared" si="5"/>
        <v>8281</v>
      </c>
      <c r="L18">
        <f t="shared" ref="L18:L21" si="6">SUM(B18:K18)</f>
        <v>64348</v>
      </c>
    </row>
    <row r="19" spans="1:12" x14ac:dyDescent="0.25">
      <c r="A19" s="2" t="s">
        <v>4</v>
      </c>
      <c r="B19">
        <f t="shared" ref="B19:K19" si="7">B6^2</f>
        <v>9025</v>
      </c>
      <c r="C19">
        <f t="shared" si="7"/>
        <v>3600</v>
      </c>
      <c r="D19">
        <f t="shared" si="7"/>
        <v>2304</v>
      </c>
      <c r="E19">
        <f t="shared" si="7"/>
        <v>7569</v>
      </c>
      <c r="F19">
        <f t="shared" si="7"/>
        <v>2304</v>
      </c>
      <c r="G19">
        <f t="shared" si="7"/>
        <v>5625</v>
      </c>
      <c r="H19">
        <f t="shared" si="7"/>
        <v>5041</v>
      </c>
      <c r="I19">
        <f t="shared" si="7"/>
        <v>8649</v>
      </c>
      <c r="J19">
        <f t="shared" si="7"/>
        <v>6400</v>
      </c>
      <c r="K19">
        <f t="shared" si="7"/>
        <v>8649</v>
      </c>
      <c r="L19">
        <f t="shared" si="6"/>
        <v>59166</v>
      </c>
    </row>
    <row r="20" spans="1:12" x14ac:dyDescent="0.25">
      <c r="A20" s="2" t="s">
        <v>5</v>
      </c>
      <c r="B20">
        <f t="shared" ref="B20:K20" si="8">B7^2</f>
        <v>9604</v>
      </c>
      <c r="C20">
        <f t="shared" si="8"/>
        <v>4225</v>
      </c>
      <c r="D20">
        <f t="shared" si="8"/>
        <v>4900</v>
      </c>
      <c r="E20">
        <f t="shared" si="8"/>
        <v>9025</v>
      </c>
      <c r="F20">
        <f t="shared" si="8"/>
        <v>4489</v>
      </c>
      <c r="G20">
        <f t="shared" si="8"/>
        <v>6724</v>
      </c>
      <c r="H20">
        <f t="shared" si="8"/>
        <v>5329</v>
      </c>
      <c r="I20">
        <f t="shared" si="8"/>
        <v>8836</v>
      </c>
      <c r="J20">
        <f t="shared" si="8"/>
        <v>7396</v>
      </c>
      <c r="K20">
        <f t="shared" si="8"/>
        <v>6400</v>
      </c>
      <c r="L20">
        <f t="shared" si="6"/>
        <v>66928</v>
      </c>
    </row>
    <row r="21" spans="1:12" x14ac:dyDescent="0.25">
      <c r="A21" s="2" t="s">
        <v>6</v>
      </c>
      <c r="B21">
        <f t="shared" ref="B21:K21" si="9">B8^2</f>
        <v>9409</v>
      </c>
      <c r="C21">
        <f t="shared" si="9"/>
        <v>4225</v>
      </c>
      <c r="D21">
        <f t="shared" si="9"/>
        <v>3844</v>
      </c>
      <c r="E21">
        <f t="shared" si="9"/>
        <v>9801</v>
      </c>
      <c r="F21">
        <f t="shared" si="9"/>
        <v>3600</v>
      </c>
      <c r="G21">
        <f t="shared" si="9"/>
        <v>6400</v>
      </c>
      <c r="H21">
        <f t="shared" si="9"/>
        <v>5776</v>
      </c>
      <c r="I21">
        <f t="shared" si="9"/>
        <v>8464</v>
      </c>
      <c r="J21">
        <f t="shared" si="9"/>
        <v>8100</v>
      </c>
      <c r="K21">
        <f t="shared" si="9"/>
        <v>7921</v>
      </c>
      <c r="L21">
        <f t="shared" si="6"/>
        <v>67540</v>
      </c>
    </row>
    <row r="22" spans="1:12" x14ac:dyDescent="0.25">
      <c r="B22">
        <f>SUM(B17:B21)</f>
        <v>47055</v>
      </c>
      <c r="C22">
        <f t="shared" ref="C22" si="10">SUM(C17:C21)</f>
        <v>21175</v>
      </c>
      <c r="D22">
        <f t="shared" ref="D22" si="11">SUM(D17:D21)</f>
        <v>25548</v>
      </c>
      <c r="E22">
        <f t="shared" ref="E22" si="12">SUM(E17:E21)</f>
        <v>45221</v>
      </c>
      <c r="F22">
        <f t="shared" ref="F22" si="13">SUM(F17:F21)</f>
        <v>19518</v>
      </c>
      <c r="G22">
        <f t="shared" ref="G22" si="14">SUM(G17:G21)</f>
        <v>33718</v>
      </c>
      <c r="H22">
        <f t="shared" ref="H22" si="15">SUM(H17:H21)</f>
        <v>26671</v>
      </c>
      <c r="I22">
        <f t="shared" ref="I22" si="16">SUM(I17:I21)</f>
        <v>33450</v>
      </c>
      <c r="J22">
        <f t="shared" ref="J22" si="17">SUM(J17:J21)</f>
        <v>36177</v>
      </c>
      <c r="K22">
        <f t="shared" ref="K22" si="18">SUM(K17:K21)</f>
        <v>39715</v>
      </c>
      <c r="L22" s="2">
        <f>SUM(B17:K21)</f>
        <v>328248</v>
      </c>
    </row>
    <row r="23" spans="1:12" x14ac:dyDescent="0.25">
      <c r="L23" s="2"/>
    </row>
    <row r="25" spans="1:12" x14ac:dyDescent="0.25">
      <c r="A25" s="2" t="s">
        <v>12</v>
      </c>
      <c r="B25">
        <f>L22</f>
        <v>328248</v>
      </c>
    </row>
    <row r="26" spans="1:12" x14ac:dyDescent="0.25">
      <c r="A26" s="2" t="s">
        <v>13</v>
      </c>
      <c r="B26">
        <f>L9^2/B12</f>
        <v>318402</v>
      </c>
    </row>
    <row r="28" spans="1:12" x14ac:dyDescent="0.25">
      <c r="A28" t="s">
        <v>14</v>
      </c>
      <c r="B28">
        <f>B25-B26</f>
        <v>9846</v>
      </c>
    </row>
    <row r="29" spans="1:12" x14ac:dyDescent="0.25">
      <c r="A29" t="s">
        <v>15</v>
      </c>
      <c r="B29">
        <f>(SUM(M4:M8)/B14)-B26</f>
        <v>368</v>
      </c>
    </row>
    <row r="30" spans="1:12" x14ac:dyDescent="0.25">
      <c r="A30" t="s">
        <v>16</v>
      </c>
      <c r="B30">
        <f>(SUM(B10:K10)/B13) - B26</f>
        <v>6608</v>
      </c>
    </row>
    <row r="32" spans="1:12" ht="18" x14ac:dyDescent="0.35">
      <c r="A32" s="2" t="s">
        <v>21</v>
      </c>
      <c r="B32" s="2" t="s">
        <v>26</v>
      </c>
      <c r="C32" s="2" t="s">
        <v>27</v>
      </c>
      <c r="D32" s="2" t="s">
        <v>28</v>
      </c>
      <c r="E32" s="2" t="s">
        <v>29</v>
      </c>
      <c r="F32" s="2" t="s">
        <v>30</v>
      </c>
      <c r="G32" s="2" t="s">
        <v>34</v>
      </c>
    </row>
    <row r="33" spans="1:12" ht="15.75" thickBot="1" x14ac:dyDescent="0.3">
      <c r="A33" s="2" t="s">
        <v>22</v>
      </c>
      <c r="B33">
        <f>B29</f>
        <v>368</v>
      </c>
      <c r="C33">
        <f>B13-1</f>
        <v>4</v>
      </c>
      <c r="D33">
        <f>B33/C33</f>
        <v>92</v>
      </c>
      <c r="E33">
        <f>D33/D35</f>
        <v>1.154006968641115</v>
      </c>
      <c r="F33">
        <f>_xlfn.F.INV(0.95, C33,C35)</f>
        <v>2.633532094213753</v>
      </c>
      <c r="G33" t="s">
        <v>35</v>
      </c>
    </row>
    <row r="34" spans="1:12" x14ac:dyDescent="0.25">
      <c r="A34" s="2" t="s">
        <v>23</v>
      </c>
      <c r="B34">
        <f>B30</f>
        <v>6608</v>
      </c>
      <c r="C34">
        <f>B14-1</f>
        <v>9</v>
      </c>
      <c r="D34">
        <f>B34/C34</f>
        <v>734.22222222222217</v>
      </c>
      <c r="E34">
        <f>D34/D35</f>
        <v>9.2097560975609749</v>
      </c>
      <c r="F34">
        <f>_xlfn.F.INV(0.95,C34,C35)</f>
        <v>2.1526074724580764</v>
      </c>
      <c r="G34" t="s">
        <v>36</v>
      </c>
      <c r="H34" s="5"/>
      <c r="I34" s="5"/>
      <c r="J34" s="5"/>
      <c r="K34" s="5"/>
      <c r="L34" s="5"/>
    </row>
    <row r="35" spans="1:12" x14ac:dyDescent="0.25">
      <c r="A35" s="2" t="s">
        <v>24</v>
      </c>
      <c r="B35">
        <f>B36-B33-B34</f>
        <v>2870</v>
      </c>
      <c r="C35">
        <f>C33*C34</f>
        <v>36</v>
      </c>
      <c r="D35">
        <f>B35/C35</f>
        <v>79.722222222222229</v>
      </c>
      <c r="H35" s="3"/>
      <c r="I35" s="3"/>
      <c r="J35" s="3"/>
      <c r="K35" s="3"/>
      <c r="L35" s="3"/>
    </row>
    <row r="36" spans="1:12" x14ac:dyDescent="0.25">
      <c r="A36" s="2" t="s">
        <v>25</v>
      </c>
      <c r="B36">
        <f>B28</f>
        <v>9846</v>
      </c>
      <c r="C36">
        <f>B12-1</f>
        <v>49</v>
      </c>
      <c r="H36" s="3"/>
      <c r="I36" s="3"/>
      <c r="J36" s="3"/>
      <c r="K36" s="3"/>
      <c r="L36" s="3"/>
    </row>
    <row r="37" spans="1:12" x14ac:dyDescent="0.25">
      <c r="H37" s="3"/>
      <c r="I37" s="3"/>
      <c r="J37" s="3"/>
      <c r="K37" s="3"/>
      <c r="L37" s="3"/>
    </row>
    <row r="38" spans="1:12" x14ac:dyDescent="0.25">
      <c r="A38" s="2"/>
      <c r="H38" s="3"/>
      <c r="I38" s="3"/>
      <c r="J38" s="3"/>
      <c r="K38" s="3"/>
      <c r="L38" s="3"/>
    </row>
    <row r="39" spans="1:12" x14ac:dyDescent="0.25">
      <c r="A39" s="2" t="s">
        <v>31</v>
      </c>
      <c r="B39">
        <f>SQRT(2*D35/B13)</f>
        <v>5.6470247820324726</v>
      </c>
      <c r="H39" s="3"/>
      <c r="I39" s="3"/>
      <c r="J39" s="3"/>
      <c r="K39" s="3"/>
      <c r="L39" s="3"/>
    </row>
    <row r="40" spans="1:12" x14ac:dyDescent="0.25">
      <c r="A40" s="2" t="s">
        <v>32</v>
      </c>
      <c r="B40">
        <f>_xlfn.T.INV(0.975, C33*C34)</f>
        <v>2.0280940009804502</v>
      </c>
      <c r="H40" s="3"/>
      <c r="I40" s="3"/>
      <c r="J40" s="3"/>
      <c r="K40" s="3"/>
      <c r="L40" s="3"/>
    </row>
    <row r="41" spans="1:12" x14ac:dyDescent="0.25">
      <c r="A41" s="2" t="s">
        <v>33</v>
      </c>
      <c r="B41">
        <f>B39*B40</f>
        <v>11.452697083827992</v>
      </c>
      <c r="H41" s="3"/>
      <c r="I41" s="3"/>
      <c r="J41" s="3"/>
      <c r="K41" s="3"/>
      <c r="L41" s="3"/>
    </row>
    <row r="42" spans="1:12" x14ac:dyDescent="0.25">
      <c r="H42" s="3"/>
      <c r="I42" s="3"/>
      <c r="J42" s="3"/>
      <c r="K42" s="3"/>
      <c r="L42" s="3"/>
    </row>
    <row r="43" spans="1:12" ht="30" x14ac:dyDescent="0.25">
      <c r="A43" s="2" t="s">
        <v>23</v>
      </c>
      <c r="B43" s="2" t="s">
        <v>37</v>
      </c>
      <c r="C43" s="6" t="s">
        <v>38</v>
      </c>
      <c r="D43" s="2" t="s">
        <v>39</v>
      </c>
      <c r="E43" s="2" t="s">
        <v>85</v>
      </c>
      <c r="F43" s="2"/>
      <c r="H43" s="3"/>
      <c r="I43" s="3"/>
      <c r="J43" s="3"/>
      <c r="K43" s="3"/>
      <c r="L43" s="3"/>
    </row>
    <row r="44" spans="1:12" x14ac:dyDescent="0.25">
      <c r="A44" s="2">
        <v>1</v>
      </c>
      <c r="B44" s="3">
        <f>B9/5</f>
        <v>97</v>
      </c>
      <c r="C44">
        <f>ABS(B44-B45)</f>
        <v>32</v>
      </c>
      <c r="D44" t="s">
        <v>40</v>
      </c>
      <c r="E44" t="str">
        <f>IF(C44&gt;$B$41, "Significant", "Not Significant")</f>
        <v>Significant</v>
      </c>
      <c r="L44" s="3"/>
    </row>
    <row r="45" spans="1:12" x14ac:dyDescent="0.25">
      <c r="A45" s="2">
        <v>2</v>
      </c>
      <c r="B45" s="3">
        <v>65</v>
      </c>
      <c r="C45">
        <f t="shared" ref="C45:C53" si="19">ABS(B45-B46)</f>
        <v>5</v>
      </c>
      <c r="D45" t="s">
        <v>41</v>
      </c>
      <c r="E45" t="str">
        <f t="shared" ref="E45:E88" si="20">IF(C45&gt;$B$41, "Significant", "Not Significant")</f>
        <v>Not Significant</v>
      </c>
      <c r="H45" s="3"/>
      <c r="I45" s="3"/>
      <c r="J45" s="3"/>
      <c r="K45" s="3"/>
      <c r="L45" s="3"/>
    </row>
    <row r="46" spans="1:12" x14ac:dyDescent="0.25">
      <c r="A46" s="2">
        <v>3</v>
      </c>
      <c r="B46">
        <v>70</v>
      </c>
      <c r="C46">
        <f t="shared" si="19"/>
        <v>25</v>
      </c>
      <c r="D46" t="s">
        <v>42</v>
      </c>
      <c r="E46" t="str">
        <f t="shared" si="20"/>
        <v>Significant</v>
      </c>
      <c r="H46" s="3"/>
      <c r="I46" s="3"/>
      <c r="J46" s="3"/>
      <c r="K46" s="3"/>
      <c r="L46" s="3"/>
    </row>
    <row r="47" spans="1:12" x14ac:dyDescent="0.25">
      <c r="A47" s="2">
        <v>4</v>
      </c>
      <c r="B47">
        <v>95</v>
      </c>
      <c r="C47">
        <f t="shared" si="19"/>
        <v>33</v>
      </c>
      <c r="D47" t="s">
        <v>43</v>
      </c>
      <c r="E47" t="str">
        <f t="shared" si="20"/>
        <v>Significant</v>
      </c>
      <c r="H47" s="3"/>
      <c r="I47" s="3"/>
      <c r="J47" s="3"/>
      <c r="K47" s="3"/>
      <c r="L47" s="3"/>
    </row>
    <row r="48" spans="1:12" x14ac:dyDescent="0.25">
      <c r="A48" s="2">
        <v>5</v>
      </c>
      <c r="B48">
        <v>62</v>
      </c>
      <c r="C48">
        <f t="shared" si="19"/>
        <v>20</v>
      </c>
      <c r="D48" t="s">
        <v>44</v>
      </c>
      <c r="E48" t="str">
        <f t="shared" si="20"/>
        <v>Significant</v>
      </c>
      <c r="H48" s="3"/>
      <c r="I48" s="3"/>
      <c r="J48" s="3"/>
      <c r="K48" s="3"/>
      <c r="L48" s="3"/>
    </row>
    <row r="49" spans="1:12" x14ac:dyDescent="0.25">
      <c r="A49" s="2">
        <v>6</v>
      </c>
      <c r="B49">
        <v>82</v>
      </c>
      <c r="C49">
        <f t="shared" si="19"/>
        <v>9</v>
      </c>
      <c r="D49" t="s">
        <v>45</v>
      </c>
      <c r="E49" t="str">
        <f t="shared" si="20"/>
        <v>Not Significant</v>
      </c>
      <c r="H49" s="3"/>
      <c r="I49" s="3"/>
      <c r="J49" s="3"/>
      <c r="K49" s="3"/>
      <c r="L49" s="3"/>
    </row>
    <row r="50" spans="1:12" ht="15.75" thickBot="1" x14ac:dyDescent="0.3">
      <c r="A50" s="2">
        <v>7</v>
      </c>
      <c r="B50">
        <v>73</v>
      </c>
      <c r="C50">
        <f t="shared" si="19"/>
        <v>7</v>
      </c>
      <c r="D50" t="s">
        <v>46</v>
      </c>
      <c r="E50" t="str">
        <f t="shared" si="20"/>
        <v>Not Significant</v>
      </c>
      <c r="H50" s="4"/>
      <c r="I50" s="4"/>
      <c r="J50" s="4"/>
      <c r="K50" s="4"/>
      <c r="L50" s="4"/>
    </row>
    <row r="51" spans="1:12" x14ac:dyDescent="0.25">
      <c r="A51" s="2">
        <v>8</v>
      </c>
      <c r="B51">
        <v>80</v>
      </c>
      <c r="C51">
        <f t="shared" si="19"/>
        <v>5</v>
      </c>
      <c r="D51" t="s">
        <v>47</v>
      </c>
      <c r="E51" t="str">
        <f t="shared" si="20"/>
        <v>Not Significant</v>
      </c>
    </row>
    <row r="52" spans="1:12" x14ac:dyDescent="0.25">
      <c r="A52" s="2">
        <v>9</v>
      </c>
      <c r="B52">
        <v>85</v>
      </c>
      <c r="C52">
        <f t="shared" si="19"/>
        <v>4</v>
      </c>
      <c r="D52" t="s">
        <v>48</v>
      </c>
      <c r="E52" t="str">
        <f t="shared" si="20"/>
        <v>Not Significant</v>
      </c>
    </row>
    <row r="53" spans="1:12" x14ac:dyDescent="0.25">
      <c r="A53" s="2">
        <v>10</v>
      </c>
      <c r="B53">
        <v>89</v>
      </c>
      <c r="C53">
        <f>ABS(B53-B44)</f>
        <v>8</v>
      </c>
      <c r="D53" t="s">
        <v>49</v>
      </c>
      <c r="E53" t="str">
        <f t="shared" si="20"/>
        <v>Not Significant</v>
      </c>
    </row>
    <row r="54" spans="1:12" x14ac:dyDescent="0.25">
      <c r="C54">
        <f>ABS(B44-B46)</f>
        <v>27</v>
      </c>
      <c r="D54" t="s">
        <v>50</v>
      </c>
      <c r="E54" t="str">
        <f t="shared" si="20"/>
        <v>Significant</v>
      </c>
    </row>
    <row r="55" spans="1:12" x14ac:dyDescent="0.25">
      <c r="C55">
        <f>ABS(B44-B47)</f>
        <v>2</v>
      </c>
      <c r="D55" t="s">
        <v>51</v>
      </c>
      <c r="E55" t="str">
        <f t="shared" si="20"/>
        <v>Not Significant</v>
      </c>
    </row>
    <row r="56" spans="1:12" x14ac:dyDescent="0.25">
      <c r="C56">
        <f>ABS(B44-B48)</f>
        <v>35</v>
      </c>
      <c r="D56" t="s">
        <v>52</v>
      </c>
      <c r="E56" t="str">
        <f t="shared" si="20"/>
        <v>Significant</v>
      </c>
    </row>
    <row r="57" spans="1:12" x14ac:dyDescent="0.25">
      <c r="C57">
        <f>ABS(B44-B49)</f>
        <v>15</v>
      </c>
      <c r="D57" t="s">
        <v>53</v>
      </c>
      <c r="E57" t="str">
        <f t="shared" si="20"/>
        <v>Significant</v>
      </c>
    </row>
    <row r="58" spans="1:12" x14ac:dyDescent="0.25">
      <c r="C58">
        <f>ABS(B44-B50)</f>
        <v>24</v>
      </c>
      <c r="D58" t="s">
        <v>54</v>
      </c>
      <c r="E58" t="str">
        <f t="shared" si="20"/>
        <v>Significant</v>
      </c>
    </row>
    <row r="59" spans="1:12" x14ac:dyDescent="0.25">
      <c r="C59">
        <f>ABS(B44-B51)</f>
        <v>17</v>
      </c>
      <c r="D59" t="s">
        <v>55</v>
      </c>
      <c r="E59" t="str">
        <f t="shared" si="20"/>
        <v>Significant</v>
      </c>
    </row>
    <row r="60" spans="1:12" x14ac:dyDescent="0.25">
      <c r="C60">
        <f>ABS(B44-B52)</f>
        <v>12</v>
      </c>
      <c r="D60" t="s">
        <v>56</v>
      </c>
      <c r="E60" t="str">
        <f t="shared" si="20"/>
        <v>Significant</v>
      </c>
    </row>
    <row r="61" spans="1:12" x14ac:dyDescent="0.25">
      <c r="C61">
        <f>ABS(B45-B47)</f>
        <v>30</v>
      </c>
      <c r="D61" t="s">
        <v>57</v>
      </c>
      <c r="E61" t="str">
        <f t="shared" si="20"/>
        <v>Significant</v>
      </c>
    </row>
    <row r="62" spans="1:12" x14ac:dyDescent="0.25">
      <c r="C62">
        <f>ABS(B45-B48)</f>
        <v>3</v>
      </c>
      <c r="D62" t="s">
        <v>58</v>
      </c>
      <c r="E62" t="str">
        <f t="shared" si="20"/>
        <v>Not Significant</v>
      </c>
    </row>
    <row r="63" spans="1:12" x14ac:dyDescent="0.25">
      <c r="C63">
        <f>ABS(B45-B49)</f>
        <v>17</v>
      </c>
      <c r="D63" t="s">
        <v>59</v>
      </c>
      <c r="E63" t="str">
        <f t="shared" si="20"/>
        <v>Significant</v>
      </c>
    </row>
    <row r="64" spans="1:12" x14ac:dyDescent="0.25">
      <c r="C64">
        <f>ABS(B45-B50)</f>
        <v>8</v>
      </c>
      <c r="D64" t="s">
        <v>60</v>
      </c>
      <c r="E64" t="str">
        <f t="shared" si="20"/>
        <v>Not Significant</v>
      </c>
    </row>
    <row r="65" spans="3:5" x14ac:dyDescent="0.25">
      <c r="C65">
        <f>ABS(B45-B51)</f>
        <v>15</v>
      </c>
      <c r="D65" t="s">
        <v>61</v>
      </c>
      <c r="E65" t="str">
        <f t="shared" si="20"/>
        <v>Significant</v>
      </c>
    </row>
    <row r="66" spans="3:5" x14ac:dyDescent="0.25">
      <c r="C66">
        <f>ABS(B45-B52)</f>
        <v>20</v>
      </c>
      <c r="D66" t="s">
        <v>62</v>
      </c>
      <c r="E66" t="str">
        <f t="shared" si="20"/>
        <v>Significant</v>
      </c>
    </row>
    <row r="67" spans="3:5" x14ac:dyDescent="0.25">
      <c r="C67">
        <f>ABS(B45-B53)</f>
        <v>24</v>
      </c>
      <c r="D67" t="s">
        <v>63</v>
      </c>
      <c r="E67" t="str">
        <f t="shared" si="20"/>
        <v>Significant</v>
      </c>
    </row>
    <row r="68" spans="3:5" x14ac:dyDescent="0.25">
      <c r="C68">
        <f>ABS(B46-B48)</f>
        <v>8</v>
      </c>
      <c r="D68" t="s">
        <v>64</v>
      </c>
      <c r="E68" t="str">
        <f t="shared" si="20"/>
        <v>Not Significant</v>
      </c>
    </row>
    <row r="69" spans="3:5" x14ac:dyDescent="0.25">
      <c r="C69">
        <f>ABS(B46-B49)</f>
        <v>12</v>
      </c>
      <c r="D69" t="s">
        <v>65</v>
      </c>
      <c r="E69" t="str">
        <f t="shared" si="20"/>
        <v>Significant</v>
      </c>
    </row>
    <row r="70" spans="3:5" x14ac:dyDescent="0.25">
      <c r="C70">
        <f>ABS(B46-B50)</f>
        <v>3</v>
      </c>
      <c r="D70" t="s">
        <v>66</v>
      </c>
      <c r="E70" t="str">
        <f t="shared" si="20"/>
        <v>Not Significant</v>
      </c>
    </row>
    <row r="71" spans="3:5" x14ac:dyDescent="0.25">
      <c r="C71">
        <f>ABS(B46-B51)</f>
        <v>10</v>
      </c>
      <c r="D71" t="s">
        <v>67</v>
      </c>
      <c r="E71" t="str">
        <f t="shared" si="20"/>
        <v>Not Significant</v>
      </c>
    </row>
    <row r="72" spans="3:5" x14ac:dyDescent="0.25">
      <c r="C72">
        <f>ABS(B46-B52)</f>
        <v>15</v>
      </c>
      <c r="D72" t="s">
        <v>68</v>
      </c>
      <c r="E72" t="str">
        <f t="shared" si="20"/>
        <v>Significant</v>
      </c>
    </row>
    <row r="73" spans="3:5" x14ac:dyDescent="0.25">
      <c r="C73">
        <f>ABS(B46-B53)</f>
        <v>19</v>
      </c>
      <c r="D73" t="s">
        <v>69</v>
      </c>
      <c r="E73" t="str">
        <f t="shared" si="20"/>
        <v>Significant</v>
      </c>
    </row>
    <row r="74" spans="3:5" x14ac:dyDescent="0.25">
      <c r="C74">
        <f>ABS(B47-B49)</f>
        <v>13</v>
      </c>
      <c r="D74" t="s">
        <v>70</v>
      </c>
      <c r="E74" t="str">
        <f t="shared" si="20"/>
        <v>Significant</v>
      </c>
    </row>
    <row r="75" spans="3:5" x14ac:dyDescent="0.25">
      <c r="C75">
        <f>ABS(B47-B50)</f>
        <v>22</v>
      </c>
      <c r="D75" t="s">
        <v>71</v>
      </c>
      <c r="E75" t="str">
        <f t="shared" si="20"/>
        <v>Significant</v>
      </c>
    </row>
    <row r="76" spans="3:5" x14ac:dyDescent="0.25">
      <c r="C76">
        <f>ABS(B47-B51)</f>
        <v>15</v>
      </c>
      <c r="D76" t="s">
        <v>72</v>
      </c>
      <c r="E76" t="str">
        <f t="shared" si="20"/>
        <v>Significant</v>
      </c>
    </row>
    <row r="77" spans="3:5" x14ac:dyDescent="0.25">
      <c r="C77">
        <f>ABS(B47-B52)</f>
        <v>10</v>
      </c>
      <c r="D77" t="s">
        <v>73</v>
      </c>
      <c r="E77" t="str">
        <f t="shared" si="20"/>
        <v>Not Significant</v>
      </c>
    </row>
    <row r="78" spans="3:5" x14ac:dyDescent="0.25">
      <c r="C78">
        <f>ABS(B47-B53)</f>
        <v>6</v>
      </c>
      <c r="D78" t="s">
        <v>74</v>
      </c>
      <c r="E78" t="str">
        <f t="shared" si="20"/>
        <v>Not Significant</v>
      </c>
    </row>
    <row r="79" spans="3:5" x14ac:dyDescent="0.25">
      <c r="C79">
        <f>ABS(B48-B50)</f>
        <v>11</v>
      </c>
      <c r="D79" t="s">
        <v>75</v>
      </c>
      <c r="E79" t="str">
        <f t="shared" si="20"/>
        <v>Not Significant</v>
      </c>
    </row>
    <row r="80" spans="3:5" x14ac:dyDescent="0.25">
      <c r="C80">
        <f>ABS(B48-B51)</f>
        <v>18</v>
      </c>
      <c r="D80" t="s">
        <v>76</v>
      </c>
      <c r="E80" t="str">
        <f t="shared" si="20"/>
        <v>Significant</v>
      </c>
    </row>
    <row r="81" spans="3:5" x14ac:dyDescent="0.25">
      <c r="C81">
        <f>ABS(B48-B52)</f>
        <v>23</v>
      </c>
      <c r="D81" t="s">
        <v>77</v>
      </c>
      <c r="E81" t="str">
        <f t="shared" si="20"/>
        <v>Significant</v>
      </c>
    </row>
    <row r="82" spans="3:5" x14ac:dyDescent="0.25">
      <c r="C82">
        <f>ABS(B48-B53)</f>
        <v>27</v>
      </c>
      <c r="D82" t="s">
        <v>78</v>
      </c>
      <c r="E82" t="str">
        <f t="shared" si="20"/>
        <v>Significant</v>
      </c>
    </row>
    <row r="83" spans="3:5" x14ac:dyDescent="0.25">
      <c r="C83">
        <f>ABS(B49-B51)</f>
        <v>2</v>
      </c>
      <c r="D83" t="s">
        <v>79</v>
      </c>
      <c r="E83" t="str">
        <f t="shared" si="20"/>
        <v>Not Significant</v>
      </c>
    </row>
    <row r="84" spans="3:5" x14ac:dyDescent="0.25">
      <c r="C84">
        <f>ABS(B49-B52)</f>
        <v>3</v>
      </c>
      <c r="D84" t="s">
        <v>80</v>
      </c>
      <c r="E84" t="str">
        <f t="shared" si="20"/>
        <v>Not Significant</v>
      </c>
    </row>
    <row r="85" spans="3:5" x14ac:dyDescent="0.25">
      <c r="C85">
        <f>ABS(B49-B53)</f>
        <v>7</v>
      </c>
      <c r="D85" t="s">
        <v>81</v>
      </c>
      <c r="E85" t="str">
        <f t="shared" si="20"/>
        <v>Not Significant</v>
      </c>
    </row>
    <row r="86" spans="3:5" x14ac:dyDescent="0.25">
      <c r="C86">
        <f>ABS(B50-B52)</f>
        <v>12</v>
      </c>
      <c r="D86" t="s">
        <v>82</v>
      </c>
      <c r="E86" t="str">
        <f t="shared" si="20"/>
        <v>Significant</v>
      </c>
    </row>
    <row r="87" spans="3:5" x14ac:dyDescent="0.25">
      <c r="C87">
        <f>ABS($B$50-B53)</f>
        <v>16</v>
      </c>
      <c r="D87" t="s">
        <v>83</v>
      </c>
      <c r="E87" t="str">
        <f t="shared" si="20"/>
        <v>Significant</v>
      </c>
    </row>
    <row r="88" spans="3:5" x14ac:dyDescent="0.25">
      <c r="C88">
        <f>ABS(B51-B53)</f>
        <v>9</v>
      </c>
      <c r="D88" t="s">
        <v>84</v>
      </c>
      <c r="E88" t="str">
        <f t="shared" si="20"/>
        <v>Not Significant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COMP18</dc:creator>
  <cp:lastModifiedBy>COMP18</cp:lastModifiedBy>
  <dcterms:created xsi:type="dcterms:W3CDTF">2025-04-07T04:02:06Z</dcterms:created>
  <dcterms:modified xsi:type="dcterms:W3CDTF">2025-04-07T05:29:13Z</dcterms:modified>
</cp:coreProperties>
</file>