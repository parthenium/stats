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17\Desktop\"/>
    </mc:Choice>
  </mc:AlternateContent>
  <xr:revisionPtr revIDLastSave="0" documentId="13_ncr:1_{EA810837-45FE-46B0-A7EE-BE34B1C647D9}" xr6:coauthVersionLast="47" xr6:coauthVersionMax="47" xr10:uidLastSave="{00000000-0000-0000-0000-000000000000}"/>
  <bookViews>
    <workbookView xWindow="-120" yWindow="-120" windowWidth="29040" windowHeight="15720" xr2:uid="{50668EB7-39BC-4157-AEEC-44B2A534E9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20" i="1"/>
  <c r="L21" i="1"/>
  <c r="L22" i="1"/>
  <c r="L23" i="1"/>
  <c r="L24" i="1"/>
  <c r="L25" i="1"/>
  <c r="L26" i="1"/>
  <c r="L27" i="1"/>
  <c r="L18" i="1"/>
  <c r="F8" i="1"/>
  <c r="C9" i="1"/>
  <c r="C5" i="1"/>
  <c r="C6" i="1"/>
  <c r="C7" i="1"/>
  <c r="C8" i="1"/>
  <c r="C4" i="1"/>
  <c r="K19" i="1"/>
  <c r="K20" i="1"/>
  <c r="K21" i="1"/>
  <c r="K22" i="1"/>
  <c r="K23" i="1"/>
  <c r="K24" i="1"/>
  <c r="K25" i="1"/>
  <c r="K26" i="1"/>
  <c r="K27" i="1"/>
  <c r="K18" i="1"/>
  <c r="J19" i="1"/>
  <c r="J20" i="1"/>
  <c r="J21" i="1"/>
  <c r="J22" i="1"/>
  <c r="J23" i="1"/>
  <c r="J24" i="1"/>
  <c r="J25" i="1"/>
  <c r="J26" i="1"/>
  <c r="J27" i="1"/>
  <c r="J18" i="1"/>
  <c r="I19" i="1"/>
  <c r="I20" i="1"/>
  <c r="I21" i="1"/>
  <c r="I22" i="1"/>
  <c r="I23" i="1"/>
  <c r="I24" i="1"/>
  <c r="I25" i="1"/>
  <c r="I26" i="1"/>
  <c r="I27" i="1"/>
  <c r="I18" i="1"/>
  <c r="D36" i="1"/>
  <c r="D33" i="1"/>
  <c r="E34" i="1"/>
  <c r="F19" i="1"/>
  <c r="F20" i="1"/>
  <c r="F21" i="1"/>
  <c r="F22" i="1"/>
  <c r="F23" i="1"/>
  <c r="F24" i="1"/>
  <c r="F25" i="1"/>
  <c r="F26" i="1"/>
  <c r="F27" i="1"/>
  <c r="F18" i="1"/>
  <c r="D27" i="1"/>
  <c r="D26" i="1"/>
  <c r="D25" i="1"/>
  <c r="D24" i="1"/>
  <c r="D23" i="1"/>
  <c r="D22" i="1"/>
  <c r="D21" i="1"/>
  <c r="D20" i="1"/>
  <c r="D19" i="1"/>
  <c r="D18" i="1"/>
  <c r="C30" i="1"/>
  <c r="G15" i="1"/>
  <c r="C13" i="1"/>
  <c r="B11" i="1"/>
  <c r="B9" i="1"/>
  <c r="F28" i="1" l="1"/>
  <c r="D28" i="1"/>
  <c r="D31" i="1" s="1"/>
</calcChain>
</file>

<file path=xl/sharedStrings.xml><?xml version="1.0" encoding="utf-8"?>
<sst xmlns="http://schemas.openxmlformats.org/spreadsheetml/2006/main" count="27" uniqueCount="25">
  <si>
    <t>Practical 3</t>
  </si>
  <si>
    <t>Data</t>
  </si>
  <si>
    <t xml:space="preserve">Population Mean = </t>
  </si>
  <si>
    <t>N =</t>
  </si>
  <si>
    <t>TOTAL =</t>
  </si>
  <si>
    <t>Total number of samples of size 2 without replacement =</t>
  </si>
  <si>
    <t xml:space="preserve">n = </t>
  </si>
  <si>
    <t>Samples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</si>
  <si>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</si>
  <si>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</si>
  <si>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</si>
  <si>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</si>
  <si>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</si>
  <si>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</si>
  <si>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</si>
  <si>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</si>
  <si>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</si>
  <si>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</si>
  <si>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Sample Mean</t>
  </si>
  <si>
    <t>Total =</t>
  </si>
  <si>
    <t xml:space="preserve">Mean of sample mean = </t>
  </si>
  <si>
    <t>Mean of sample mean square =</t>
  </si>
  <si>
    <t xml:space="preserve">Population mean square = </t>
  </si>
  <si>
    <t>Sample Mean Square</t>
  </si>
  <si>
    <t xml:space="preserve">Variance of Sample Mean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</si>
</sst>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648-A8B4-4D2C-8D2E-DE2ED2244C41}">
  <dimension ref="A1:AA140"/>
  <sheetViews>
    <sheetView tabSelected="1" workbookViewId="0">
      <selection activeCell="N23" sqref="N23"/>
    </sheetView>
  </sheetViews>
  <sheetFormatPr defaultRowHeight="15" x14ac:dyDescent="0.25"/>
  <sheetData>
    <row r="1" spans="1:27" ht="18.75" x14ac:dyDescent="0.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1">
        <v>122</v>
      </c>
      <c r="C4" s="1">
        <f>B4^2</f>
        <v>14884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">
        <v>143</v>
      </c>
      <c r="C5" s="1">
        <f t="shared" ref="C5:C8" si="0">B5^2</f>
        <v>20449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>
        <v>129</v>
      </c>
      <c r="C6" s="1">
        <f t="shared" si="0"/>
        <v>16641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>
        <v>150</v>
      </c>
      <c r="C7" s="1">
        <f t="shared" si="0"/>
        <v>22500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>
        <v>110</v>
      </c>
      <c r="C8" s="1">
        <f t="shared" si="0"/>
        <v>12100</v>
      </c>
      <c r="D8" s="1"/>
      <c r="E8" s="1"/>
      <c r="F8" s="1">
        <f>(C9 - B11 * (C13^2))/(B11-1)</f>
        <v>257.69999999999709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2" t="s">
        <v>4</v>
      </c>
      <c r="B9" s="2">
        <f>SUM(B4:B8)</f>
        <v>654</v>
      </c>
      <c r="C9" s="1">
        <f>SUM(C4:C8)</f>
        <v>86574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3</v>
      </c>
      <c r="B11" s="1">
        <f>COUNT(B4:B8)</f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6</v>
      </c>
      <c r="B12" s="1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5" t="s">
        <v>2</v>
      </c>
      <c r="B13" s="5"/>
      <c r="C13" s="2">
        <f>B9/B11</f>
        <v>130.80000000000001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4" t="s">
        <v>5</v>
      </c>
      <c r="B15" s="1"/>
      <c r="C15" s="1"/>
      <c r="D15" s="1"/>
      <c r="E15" s="1"/>
      <c r="F15" s="1"/>
      <c r="G15" s="1">
        <f>FACT(B11)/(FACT(B12)*FACT(B11-B12))</f>
        <v>10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2" t="s">
        <v>7</v>
      </c>
      <c r="B17" s="1"/>
      <c r="C17" s="1"/>
      <c r="D17" s="5" t="s">
        <v>18</v>
      </c>
      <c r="E17" s="1"/>
      <c r="F17" s="5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8</v>
      </c>
      <c r="B18" s="1">
        <v>122</v>
      </c>
      <c r="C18" s="1">
        <v>143</v>
      </c>
      <c r="D18" s="1">
        <f>SUM(B18:C18) / B12</f>
        <v>132.5</v>
      </c>
      <c r="E18" s="1"/>
      <c r="F18" s="1">
        <f>_xlfn.VAR.S(B18:C18)</f>
        <v>220.5</v>
      </c>
      <c r="G18" s="1"/>
      <c r="H18" s="1"/>
      <c r="I18" s="1">
        <f>B18^2</f>
        <v>14884</v>
      </c>
      <c r="J18" s="1">
        <f>C18^2</f>
        <v>20449</v>
      </c>
      <c r="K18" s="1">
        <f>SUM(I18:J18)</f>
        <v>35333</v>
      </c>
      <c r="L18" s="1">
        <f>(K18-(B12*D18^2))/(B12-1)</f>
        <v>220.5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9</v>
      </c>
      <c r="B19" s="1">
        <v>122</v>
      </c>
      <c r="C19" s="1">
        <v>129</v>
      </c>
      <c r="D19" s="1">
        <f>SUM(B19:C19) / B12</f>
        <v>125.5</v>
      </c>
      <c r="E19" s="1"/>
      <c r="F19" s="1">
        <f t="shared" ref="F19:F27" si="1">_xlfn.VAR.S(B19:C19)</f>
        <v>24.5</v>
      </c>
      <c r="G19" s="1"/>
      <c r="H19" s="1"/>
      <c r="I19" s="1">
        <f t="shared" ref="I19:I27" si="2">B19^2</f>
        <v>14884</v>
      </c>
      <c r="J19" s="1">
        <f t="shared" ref="J19:J27" si="3">C19^2</f>
        <v>16641</v>
      </c>
      <c r="K19" s="1">
        <f t="shared" ref="K19:K27" si="4">SUM(I19:J19)</f>
        <v>31525</v>
      </c>
      <c r="L19" s="1">
        <f>(K19-(B13*D19^2))/(B13-1)</f>
        <v>-31525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10</v>
      </c>
      <c r="B20" s="1">
        <v>122</v>
      </c>
      <c r="C20" s="1">
        <v>150</v>
      </c>
      <c r="D20" s="1">
        <f>SUM(B20:C20) / B12</f>
        <v>136</v>
      </c>
      <c r="E20" s="1"/>
      <c r="F20" s="1">
        <f t="shared" si="1"/>
        <v>392</v>
      </c>
      <c r="G20" s="1"/>
      <c r="H20" s="1"/>
      <c r="I20" s="1">
        <f t="shared" si="2"/>
        <v>14884</v>
      </c>
      <c r="J20" s="1">
        <f t="shared" si="3"/>
        <v>22500</v>
      </c>
      <c r="K20" s="1">
        <f t="shared" si="4"/>
        <v>37384</v>
      </c>
      <c r="L20" s="1">
        <f t="shared" ref="L19:L27" si="5">(K20-(B14*D20^2))/(B14-1)</f>
        <v>-37384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11</v>
      </c>
      <c r="B21" s="1">
        <v>122</v>
      </c>
      <c r="C21" s="1">
        <v>110</v>
      </c>
      <c r="D21" s="1">
        <f>SUM(B21:C21) / B12</f>
        <v>116</v>
      </c>
      <c r="E21" s="1"/>
      <c r="F21" s="1">
        <f t="shared" si="1"/>
        <v>72</v>
      </c>
      <c r="G21" s="1"/>
      <c r="H21" s="1"/>
      <c r="I21" s="1">
        <f t="shared" si="2"/>
        <v>14884</v>
      </c>
      <c r="J21" s="1">
        <f t="shared" si="3"/>
        <v>12100</v>
      </c>
      <c r="K21" s="1">
        <f t="shared" si="4"/>
        <v>26984</v>
      </c>
      <c r="L21" s="1">
        <f t="shared" si="5"/>
        <v>-26984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12</v>
      </c>
      <c r="B22" s="1">
        <v>143</v>
      </c>
      <c r="C22" s="1">
        <v>129</v>
      </c>
      <c r="D22" s="1">
        <f>SUM(B22:C22) / B12</f>
        <v>136</v>
      </c>
      <c r="E22" s="1"/>
      <c r="F22" s="1">
        <f t="shared" si="1"/>
        <v>98</v>
      </c>
      <c r="G22" s="1"/>
      <c r="H22" s="1"/>
      <c r="I22" s="1">
        <f t="shared" si="2"/>
        <v>20449</v>
      </c>
      <c r="J22" s="1">
        <f t="shared" si="3"/>
        <v>16641</v>
      </c>
      <c r="K22" s="1">
        <f t="shared" si="4"/>
        <v>37090</v>
      </c>
      <c r="L22" s="1">
        <f t="shared" si="5"/>
        <v>-37090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 t="s">
        <v>13</v>
      </c>
      <c r="B23" s="1">
        <v>143</v>
      </c>
      <c r="C23" s="1">
        <v>150</v>
      </c>
      <c r="D23" s="1">
        <f>SUM(B23:C23) / B12</f>
        <v>146.5</v>
      </c>
      <c r="E23" s="1"/>
      <c r="F23" s="1">
        <f t="shared" si="1"/>
        <v>24.5</v>
      </c>
      <c r="G23" s="1"/>
      <c r="H23" s="1"/>
      <c r="I23" s="1">
        <f t="shared" si="2"/>
        <v>20449</v>
      </c>
      <c r="J23" s="1">
        <f t="shared" si="3"/>
        <v>22500</v>
      </c>
      <c r="K23" s="1">
        <f t="shared" si="4"/>
        <v>42949</v>
      </c>
      <c r="L23" s="1">
        <f t="shared" si="5"/>
        <v>-42949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14</v>
      </c>
      <c r="B24" s="1">
        <v>143</v>
      </c>
      <c r="C24" s="1">
        <v>110</v>
      </c>
      <c r="D24" s="1">
        <f>SUM(B24:C24) / B12</f>
        <v>126.5</v>
      </c>
      <c r="E24" s="1"/>
      <c r="F24" s="1">
        <f t="shared" si="1"/>
        <v>544.5</v>
      </c>
      <c r="G24" s="1"/>
      <c r="H24" s="1"/>
      <c r="I24" s="1">
        <f t="shared" si="2"/>
        <v>20449</v>
      </c>
      <c r="J24" s="1">
        <f t="shared" si="3"/>
        <v>12100</v>
      </c>
      <c r="K24" s="1">
        <f t="shared" si="4"/>
        <v>32549</v>
      </c>
      <c r="L24" s="1">
        <f t="shared" si="5"/>
        <v>-15865.5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15</v>
      </c>
      <c r="B25" s="1">
        <v>129</v>
      </c>
      <c r="C25" s="1">
        <v>150</v>
      </c>
      <c r="D25" s="1">
        <f>SUM(B25:C25) / B12</f>
        <v>139.5</v>
      </c>
      <c r="E25" s="1"/>
      <c r="F25" s="1">
        <f t="shared" si="1"/>
        <v>220.5</v>
      </c>
      <c r="G25" s="1"/>
      <c r="H25" s="1"/>
      <c r="I25" s="1">
        <f t="shared" si="2"/>
        <v>16641</v>
      </c>
      <c r="J25" s="1">
        <f t="shared" si="3"/>
        <v>22500</v>
      </c>
      <c r="K25" s="1">
        <f t="shared" si="4"/>
        <v>39141</v>
      </c>
      <c r="L25" s="1">
        <f t="shared" si="5"/>
        <v>-19297.599173553717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 t="s">
        <v>16</v>
      </c>
      <c r="B26" s="1">
        <v>129</v>
      </c>
      <c r="C26" s="1">
        <v>110</v>
      </c>
      <c r="D26" s="1">
        <f>SUM(B26:C26) / B12</f>
        <v>119.5</v>
      </c>
      <c r="E26" s="1"/>
      <c r="F26" s="1">
        <f t="shared" si="1"/>
        <v>180.5</v>
      </c>
      <c r="G26" s="1"/>
      <c r="H26" s="1"/>
      <c r="I26" s="1">
        <f t="shared" si="2"/>
        <v>16641</v>
      </c>
      <c r="J26" s="1">
        <f t="shared" si="3"/>
        <v>12100</v>
      </c>
      <c r="K26" s="1">
        <f t="shared" si="4"/>
        <v>28741</v>
      </c>
      <c r="L26" s="1">
        <f t="shared" si="5"/>
        <v>-14160.739669421488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 t="s">
        <v>17</v>
      </c>
      <c r="B27" s="1">
        <v>150</v>
      </c>
      <c r="C27" s="1">
        <v>110</v>
      </c>
      <c r="D27" s="1">
        <f>SUM(B27:C27) / B12</f>
        <v>130</v>
      </c>
      <c r="E27" s="1"/>
      <c r="F27" s="1">
        <f t="shared" si="1"/>
        <v>800</v>
      </c>
      <c r="G27" s="1"/>
      <c r="H27" s="1"/>
      <c r="I27" s="1">
        <f t="shared" si="2"/>
        <v>22500</v>
      </c>
      <c r="J27" s="1">
        <f t="shared" si="3"/>
        <v>12100</v>
      </c>
      <c r="K27" s="1">
        <f t="shared" si="4"/>
        <v>34600</v>
      </c>
      <c r="L27" s="1">
        <f t="shared" si="5"/>
        <v>-16753.719008264463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2" t="s">
        <v>19</v>
      </c>
      <c r="D28" s="2">
        <f>SUM(D18:D27)</f>
        <v>1308</v>
      </c>
      <c r="E28" s="2" t="s">
        <v>19</v>
      </c>
      <c r="F28" s="2">
        <f>SUM(F18:F27)</f>
        <v>2577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5" t="s">
        <v>2</v>
      </c>
      <c r="B30" s="5"/>
      <c r="C30" s="2">
        <f>B9/B11</f>
        <v>130.80000000000001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5" t="s">
        <v>20</v>
      </c>
      <c r="B31" s="2"/>
      <c r="C31" s="2"/>
      <c r="D31" s="2">
        <f>D28/G15</f>
        <v>130.80000000000001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5" t="s">
        <v>22</v>
      </c>
      <c r="B33" s="5"/>
      <c r="C33" s="5"/>
      <c r="D33" s="5">
        <f>VAR(B4:B8)</f>
        <v>257.70000000000073</v>
      </c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5" t="s">
        <v>21</v>
      </c>
      <c r="B34" s="5"/>
      <c r="C34" s="5"/>
      <c r="D34" s="5"/>
      <c r="E34" s="2">
        <f>F28/G15</f>
        <v>257.7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5" t="s">
        <v>24</v>
      </c>
      <c r="B36" s="2"/>
      <c r="C36" s="2"/>
      <c r="D36" s="2">
        <f>((1/B12)-(1/B11))*D33</f>
        <v>77.310000000000215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COMP17</cp:lastModifiedBy>
  <dcterms:created xsi:type="dcterms:W3CDTF">2025-03-17T04:10:00Z</dcterms:created>
  <dcterms:modified xsi:type="dcterms:W3CDTF">2025-03-17T05:23:28Z</dcterms:modified>
</cp:coreProperties>
</file>